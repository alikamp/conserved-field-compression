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conserved-field-compression\corrector\cPFPL\"/>
    </mc:Choice>
  </mc:AlternateContent>
  <xr:revisionPtr revIDLastSave="0" documentId="13_ncr:1_{52D8A812-3D37-4C51-A266-A448E6A89BD6}" xr6:coauthVersionLast="47" xr6:coauthVersionMax="47" xr10:uidLastSave="{00000000-0000-0000-0000-000000000000}"/>
  <bookViews>
    <workbookView xWindow="-96" yWindow="-96" windowWidth="23232" windowHeight="12432" xr2:uid="{025B4714-722D-471E-B9F9-8B5D788F8165}"/>
  </bookViews>
  <sheets>
    <sheet name="cPFPLresults.40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V63" i="1" s="1"/>
  <c r="U47" i="1"/>
  <c r="U63" i="1" s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R63" i="1"/>
  <c r="S63" i="1"/>
  <c r="Q63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</calcChain>
</file>

<file path=xl/sharedStrings.xml><?xml version="1.0" encoding="utf-8"?>
<sst xmlns="http://schemas.openxmlformats.org/spreadsheetml/2006/main" count="80" uniqueCount="23">
  <si>
    <t>input</t>
  </si>
  <si>
    <t>error_bound</t>
  </si>
  <si>
    <t>mode</t>
  </si>
  <si>
    <t>compression_ratio</t>
  </si>
  <si>
    <t>preprocessing_GBps</t>
  </si>
  <si>
    <t>compression_GBps</t>
  </si>
  <si>
    <t>encoding_GBps</t>
  </si>
  <si>
    <t>decompression_GBps</t>
  </si>
  <si>
    <t>postprocessing_GBps</t>
  </si>
  <si>
    <t>decoding_GBps</t>
  </si>
  <si>
    <t>abs_eb</t>
  </si>
  <si>
    <t>used_eb</t>
  </si>
  <si>
    <t>eb_violations</t>
  </si>
  <si>
    <t>mass_i</t>
  </si>
  <si>
    <t>energy_i</t>
  </si>
  <si>
    <t>CESM/SDRBENCH-CESM-ATM-26x1800x3600/RELHUM_1_26_1800_3600.f32</t>
  </si>
  <si>
    <t>ISABEL/100x500x500/TCf48.bin.f32</t>
  </si>
  <si>
    <t>NYX/SDRBENCH-EXASKY-NYX-512x512x512/velocity_x.f32</t>
  </si>
  <si>
    <t>CR</t>
  </si>
  <si>
    <t>CTHRU</t>
  </si>
  <si>
    <t>DTHRU</t>
  </si>
  <si>
    <t>MASS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</si>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</sst>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"/>
    <numFmt numFmtId="167" formatCode="0.0%"/>
    <numFmt numFmtId="168" formatCode="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right"/>
    </xf>
    <xf numFmtId="0" fontId="0" fillId="0" borderId="10" xfId="0" applyBorder="1"/>
    <xf numFmtId="165" fontId="0" fillId="0" borderId="10" xfId="0" applyNumberFormat="1" applyBorder="1"/>
    <xf numFmtId="166" fontId="0" fillId="0" borderId="10" xfId="0" applyNumberFormat="1" applyBorder="1"/>
    <xf numFmtId="164" fontId="0" fillId="0" borderId="10" xfId="0" applyNumberFormat="1" applyBorder="1"/>
    <xf numFmtId="11" fontId="0" fillId="0" borderId="10" xfId="0" applyNumberFormat="1" applyBorder="1"/>
    <xf numFmtId="0" fontId="0" fillId="0" borderId="11" xfId="0" applyBorder="1"/>
    <xf numFmtId="0" fontId="0" fillId="0" borderId="14" xfId="0" applyBorder="1"/>
    <xf numFmtId="11" fontId="0" fillId="0" borderId="15" xfId="0" applyNumberFormat="1" applyBorder="1"/>
    <xf numFmtId="0" fontId="0" fillId="0" borderId="16" xfId="0" applyBorder="1"/>
    <xf numFmtId="165" fontId="0" fillId="0" borderId="17" xfId="0" applyNumberFormat="1" applyBorder="1"/>
    <xf numFmtId="0" fontId="0" fillId="0" borderId="17" xfId="0" applyBorder="1"/>
    <xf numFmtId="166" fontId="0" fillId="0" borderId="17" xfId="0" applyNumberFormat="1" applyBorder="1"/>
    <xf numFmtId="164" fontId="0" fillId="0" borderId="17" xfId="0" applyNumberFormat="1" applyBorder="1"/>
    <xf numFmtId="11" fontId="0" fillId="0" borderId="17" xfId="0" applyNumberFormat="1" applyBorder="1"/>
    <xf numFmtId="11" fontId="0" fillId="0" borderId="18" xfId="0" applyNumberFormat="1" applyBorder="1"/>
    <xf numFmtId="0" fontId="0" fillId="0" borderId="19" xfId="0" applyBorder="1"/>
    <xf numFmtId="165" fontId="0" fillId="0" borderId="20" xfId="0" applyNumberFormat="1" applyBorder="1"/>
    <xf numFmtId="0" fontId="0" fillId="0" borderId="20" xfId="0" applyBorder="1"/>
    <xf numFmtId="166" fontId="0" fillId="0" borderId="20" xfId="0" applyNumberFormat="1" applyBorder="1"/>
    <xf numFmtId="164" fontId="0" fillId="0" borderId="20" xfId="0" applyNumberFormat="1" applyBorder="1"/>
    <xf numFmtId="11" fontId="0" fillId="0" borderId="20" xfId="0" applyNumberFormat="1" applyBorder="1"/>
    <xf numFmtId="11" fontId="0" fillId="0" borderId="21" xfId="0" applyNumberFormat="1" applyBorder="1"/>
    <xf numFmtId="0" fontId="0" fillId="0" borderId="22" xfId="0" applyBorder="1"/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5" xfId="0" applyBorder="1"/>
    <xf numFmtId="165" fontId="0" fillId="0" borderId="26" xfId="0" applyNumberFormat="1" applyBorder="1"/>
    <xf numFmtId="0" fontId="0" fillId="0" borderId="26" xfId="0" applyBorder="1"/>
    <xf numFmtId="166" fontId="0" fillId="0" borderId="26" xfId="0" applyNumberFormat="1" applyBorder="1"/>
    <xf numFmtId="164" fontId="0" fillId="0" borderId="26" xfId="0" applyNumberFormat="1" applyBorder="1"/>
    <xf numFmtId="11" fontId="0" fillId="0" borderId="26" xfId="0" applyNumberFormat="1" applyBorder="1"/>
    <xf numFmtId="11" fontId="0" fillId="0" borderId="27" xfId="0" applyNumberFormat="1" applyBorder="1"/>
    <xf numFmtId="165" fontId="0" fillId="0" borderId="12" xfId="0" applyNumberFormat="1" applyBorder="1"/>
    <xf numFmtId="0" fontId="0" fillId="0" borderId="12" xfId="0" applyBorder="1"/>
    <xf numFmtId="166" fontId="0" fillId="0" borderId="12" xfId="0" applyNumberFormat="1" applyBorder="1"/>
    <xf numFmtId="164" fontId="0" fillId="0" borderId="12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9" fontId="0" fillId="0" borderId="0" xfId="42" applyFont="1"/>
    <xf numFmtId="167" fontId="0" fillId="0" borderId="0" xfId="42" applyNumberFormat="1" applyFont="1"/>
    <xf numFmtId="9" fontId="0" fillId="0" borderId="28" xfId="42" applyFont="1" applyBorder="1"/>
    <xf numFmtId="167" fontId="0" fillId="0" borderId="28" xfId="42" applyNumberFormat="1" applyFont="1" applyBorder="1"/>
    <xf numFmtId="9" fontId="0" fillId="0" borderId="0" xfId="0" applyNumberFormat="1"/>
    <xf numFmtId="167" fontId="0" fillId="0" borderId="0" xfId="0" applyNumberFormat="1"/>
    <xf numFmtId="168" fontId="0" fillId="0" borderId="0" xfId="0" applyNumberFormat="1"/>
    <xf numFmtId="168" fontId="0" fillId="0" borderId="28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144D-47BE-4FE0-A56D-3348F76D5344}">
  <dimension ref="A1:V63"/>
  <sheetViews>
    <sheetView tabSelected="1" topLeftCell="G39" workbookViewId="0">
      <selection activeCell="U65" sqref="U65"/>
    </sheetView>
  </sheetViews>
  <sheetFormatPr defaultRowHeight="14.4" x14ac:dyDescent="0.55000000000000004"/>
  <cols>
    <col min="1" max="1" width="61.734375" bestFit="1" customWidth="1"/>
    <col min="2" max="2" width="10.15625" bestFit="1" customWidth="1"/>
    <col min="3" max="3" width="5.15625" bestFit="1" customWidth="1"/>
    <col min="4" max="4" width="15.15625" bestFit="1" customWidth="1"/>
    <col min="5" max="5" width="16.68359375" bestFit="1" customWidth="1"/>
    <col min="6" max="6" width="15.7890625" bestFit="1" customWidth="1"/>
    <col min="7" max="7" width="12.89453125" bestFit="1" customWidth="1"/>
    <col min="8" max="8" width="17.7890625" bestFit="1" customWidth="1"/>
    <col min="9" max="9" width="17.62890625" bestFit="1" customWidth="1"/>
    <col min="10" max="10" width="12.89453125" bestFit="1" customWidth="1"/>
    <col min="11" max="12" width="13.26171875" bestFit="1" customWidth="1"/>
    <col min="13" max="13" width="10.89453125" bestFit="1" customWidth="1"/>
    <col min="14" max="14" width="8.20703125" bestFit="1" customWidth="1"/>
    <col min="15" max="15" width="7.7890625" bestFit="1" customWidth="1"/>
  </cols>
  <sheetData>
    <row r="1" spans="1:22" ht="14.7" thickBot="1" x14ac:dyDescent="0.6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6" t="s">
        <v>14</v>
      </c>
    </row>
    <row r="2" spans="1:22" x14ac:dyDescent="0.55000000000000004">
      <c r="A2" s="17" t="s">
        <v>15</v>
      </c>
      <c r="B2" s="18">
        <v>0.01</v>
      </c>
      <c r="C2" s="19">
        <v>0</v>
      </c>
      <c r="D2" s="20">
        <v>59.771999999999998</v>
      </c>
      <c r="E2" s="20">
        <v>0</v>
      </c>
      <c r="F2" s="20">
        <v>448.92599999999999</v>
      </c>
      <c r="G2" s="20">
        <v>0</v>
      </c>
      <c r="H2" s="20">
        <v>347.846</v>
      </c>
      <c r="I2" s="20">
        <v>0</v>
      </c>
      <c r="J2" s="20">
        <v>0</v>
      </c>
      <c r="K2" s="21">
        <v>0.99603399999999997</v>
      </c>
      <c r="L2" s="21">
        <v>0.99603399999999997</v>
      </c>
      <c r="M2" s="19">
        <v>0</v>
      </c>
      <c r="N2" s="22">
        <v>6.9830000000000001E-4</v>
      </c>
      <c r="O2" s="23">
        <v>1.4009999999999999E-4</v>
      </c>
    </row>
    <row r="3" spans="1:22" x14ac:dyDescent="0.55000000000000004">
      <c r="A3" s="8" t="s">
        <v>15</v>
      </c>
      <c r="B3" s="3">
        <v>3.0000000000000001E-3</v>
      </c>
      <c r="C3" s="2">
        <v>0</v>
      </c>
      <c r="D3" s="4">
        <v>33.94</v>
      </c>
      <c r="E3" s="4">
        <v>0</v>
      </c>
      <c r="F3" s="4">
        <v>443.48</v>
      </c>
      <c r="G3" s="4">
        <v>0</v>
      </c>
      <c r="H3" s="4">
        <v>343.13099999999997</v>
      </c>
      <c r="I3" s="4">
        <v>0</v>
      </c>
      <c r="J3" s="4">
        <v>0</v>
      </c>
      <c r="K3" s="5">
        <v>0.29881000000000002</v>
      </c>
      <c r="L3" s="5">
        <v>0.29881000000000002</v>
      </c>
      <c r="M3" s="2">
        <v>0</v>
      </c>
      <c r="N3" s="6">
        <v>1.0620000000000001E-4</v>
      </c>
      <c r="O3" s="9">
        <v>1.222E-5</v>
      </c>
    </row>
    <row r="4" spans="1:22" x14ac:dyDescent="0.55000000000000004">
      <c r="A4" s="8" t="s">
        <v>15</v>
      </c>
      <c r="B4" s="3">
        <v>1E-3</v>
      </c>
      <c r="C4" s="2">
        <v>0</v>
      </c>
      <c r="D4" s="4">
        <v>23.154</v>
      </c>
      <c r="E4" s="4">
        <v>0</v>
      </c>
      <c r="F4" s="4">
        <v>440.81599999999997</v>
      </c>
      <c r="G4" s="4">
        <v>0</v>
      </c>
      <c r="H4" s="4">
        <v>340.29199999999997</v>
      </c>
      <c r="I4" s="4">
        <v>0</v>
      </c>
      <c r="J4" s="4">
        <v>0</v>
      </c>
      <c r="K4" s="5">
        <v>9.9602999999999997E-2</v>
      </c>
      <c r="L4" s="5">
        <v>9.9602999999999997E-2</v>
      </c>
      <c r="M4" s="2">
        <v>0</v>
      </c>
      <c r="N4" s="6">
        <v>1.6569999999999999E-5</v>
      </c>
      <c r="O4" s="9">
        <v>1.6020000000000001E-6</v>
      </c>
    </row>
    <row r="5" spans="1:22" x14ac:dyDescent="0.55000000000000004">
      <c r="A5" s="8" t="s">
        <v>15</v>
      </c>
      <c r="B5" s="3">
        <v>2.9999999999999997E-4</v>
      </c>
      <c r="C5" s="2">
        <v>0</v>
      </c>
      <c r="D5" s="4">
        <v>14.919</v>
      </c>
      <c r="E5" s="4">
        <v>0</v>
      </c>
      <c r="F5" s="4">
        <v>436.19600000000003</v>
      </c>
      <c r="G5" s="4">
        <v>0</v>
      </c>
      <c r="H5" s="4">
        <v>337.84699999999998</v>
      </c>
      <c r="I5" s="4">
        <v>0</v>
      </c>
      <c r="J5" s="4">
        <v>0</v>
      </c>
      <c r="K5" s="5">
        <v>2.9881000000000001E-2</v>
      </c>
      <c r="L5" s="5">
        <v>2.9881000000000001E-2</v>
      </c>
      <c r="M5" s="2">
        <v>0</v>
      </c>
      <c r="N5" s="6">
        <v>1.688E-6</v>
      </c>
      <c r="O5" s="9">
        <v>1.2919999999999999E-7</v>
      </c>
    </row>
    <row r="6" spans="1:22" x14ac:dyDescent="0.55000000000000004">
      <c r="A6" s="8" t="s">
        <v>15</v>
      </c>
      <c r="B6" s="3">
        <v>1E-4</v>
      </c>
      <c r="C6" s="2">
        <v>0</v>
      </c>
      <c r="D6" s="4">
        <v>10.092000000000001</v>
      </c>
      <c r="E6" s="4">
        <v>0</v>
      </c>
      <c r="F6" s="4">
        <v>425.971</v>
      </c>
      <c r="G6" s="4">
        <v>0</v>
      </c>
      <c r="H6" s="4">
        <v>332.72199999999998</v>
      </c>
      <c r="I6" s="4">
        <v>0</v>
      </c>
      <c r="J6" s="4">
        <v>0</v>
      </c>
      <c r="K6" s="5">
        <v>9.9600000000000001E-3</v>
      </c>
      <c r="L6" s="5">
        <v>9.9600000000000001E-3</v>
      </c>
      <c r="M6" s="2">
        <v>0</v>
      </c>
      <c r="N6" s="6">
        <v>2.052E-6</v>
      </c>
      <c r="O6" s="9">
        <v>7.0609999999999995E-8</v>
      </c>
    </row>
    <row r="7" spans="1:22" x14ac:dyDescent="0.55000000000000004">
      <c r="A7" s="8" t="s">
        <v>16</v>
      </c>
      <c r="B7" s="3">
        <v>0.01</v>
      </c>
      <c r="C7" s="2">
        <v>0</v>
      </c>
      <c r="D7" s="4">
        <v>54.73</v>
      </c>
      <c r="E7" s="4">
        <v>0</v>
      </c>
      <c r="F7" s="4">
        <v>403.74700000000001</v>
      </c>
      <c r="G7" s="4">
        <v>0</v>
      </c>
      <c r="H7" s="4">
        <v>319.13799999999998</v>
      </c>
      <c r="I7" s="4">
        <v>0</v>
      </c>
      <c r="J7" s="4">
        <v>0</v>
      </c>
      <c r="K7" s="5">
        <v>1.062011</v>
      </c>
      <c r="L7" s="5">
        <v>1.062011</v>
      </c>
      <c r="M7" s="2">
        <v>0</v>
      </c>
      <c r="N7" s="6">
        <v>2.7059999999999998E-5</v>
      </c>
      <c r="O7" s="9">
        <v>1.225E-4</v>
      </c>
    </row>
    <row r="8" spans="1:22" x14ac:dyDescent="0.55000000000000004">
      <c r="A8" s="8" t="s">
        <v>16</v>
      </c>
      <c r="B8" s="3">
        <v>3.0000000000000001E-3</v>
      </c>
      <c r="C8" s="2">
        <v>0</v>
      </c>
      <c r="D8" s="4">
        <v>26.001000000000001</v>
      </c>
      <c r="E8" s="4">
        <v>0</v>
      </c>
      <c r="F8" s="4">
        <v>400.23099999999999</v>
      </c>
      <c r="G8" s="4">
        <v>0</v>
      </c>
      <c r="H8" s="4">
        <v>317.22699999999998</v>
      </c>
      <c r="I8" s="4">
        <v>0</v>
      </c>
      <c r="J8" s="4">
        <v>0</v>
      </c>
      <c r="K8" s="5">
        <v>0.31860300000000003</v>
      </c>
      <c r="L8" s="5">
        <v>0.31860300000000003</v>
      </c>
      <c r="M8" s="2">
        <v>0</v>
      </c>
      <c r="N8" s="6">
        <v>1.377E-5</v>
      </c>
      <c r="O8" s="9">
        <v>6.6959999999999999E-6</v>
      </c>
    </row>
    <row r="9" spans="1:22" x14ac:dyDescent="0.55000000000000004">
      <c r="A9" s="8" t="s">
        <v>16</v>
      </c>
      <c r="B9" s="3">
        <v>1E-3</v>
      </c>
      <c r="C9" s="2">
        <v>0</v>
      </c>
      <c r="D9" s="4">
        <v>15.584</v>
      </c>
      <c r="E9" s="4">
        <v>0</v>
      </c>
      <c r="F9" s="4">
        <v>400.23099999999999</v>
      </c>
      <c r="G9" s="4">
        <v>0</v>
      </c>
      <c r="H9" s="4">
        <v>316.93700000000001</v>
      </c>
      <c r="I9" s="4">
        <v>0</v>
      </c>
      <c r="J9" s="4">
        <v>0</v>
      </c>
      <c r="K9" s="5">
        <v>0.106201</v>
      </c>
      <c r="L9" s="5">
        <v>0.106201</v>
      </c>
      <c r="M9" s="2">
        <v>0</v>
      </c>
      <c r="N9" s="6">
        <v>2.6179999999999998E-7</v>
      </c>
      <c r="O9" s="9">
        <v>2.8339999999999999E-6</v>
      </c>
    </row>
    <row r="10" spans="1:22" x14ac:dyDescent="0.55000000000000004">
      <c r="A10" s="8" t="s">
        <v>16</v>
      </c>
      <c r="B10" s="3">
        <v>2.9999999999999997E-4</v>
      </c>
      <c r="C10" s="2">
        <v>0</v>
      </c>
      <c r="D10" s="4">
        <v>10.231999999999999</v>
      </c>
      <c r="E10" s="4">
        <v>0</v>
      </c>
      <c r="F10" s="4">
        <v>392.19400000000002</v>
      </c>
      <c r="G10" s="4">
        <v>0</v>
      </c>
      <c r="H10" s="4">
        <v>314.798</v>
      </c>
      <c r="I10" s="4">
        <v>0</v>
      </c>
      <c r="J10" s="4">
        <v>0</v>
      </c>
      <c r="K10" s="5">
        <v>3.1859999999999999E-2</v>
      </c>
      <c r="L10" s="5">
        <v>3.1859999999999999E-2</v>
      </c>
      <c r="M10" s="2">
        <v>0</v>
      </c>
      <c r="N10" s="6">
        <v>3.1900000000000001E-8</v>
      </c>
      <c r="O10" s="9">
        <v>1.8330000000000001E-7</v>
      </c>
    </row>
    <row r="11" spans="1:22" x14ac:dyDescent="0.55000000000000004">
      <c r="A11" s="8" t="s">
        <v>16</v>
      </c>
      <c r="B11" s="3">
        <v>1E-4</v>
      </c>
      <c r="C11" s="2">
        <v>0</v>
      </c>
      <c r="D11" s="4">
        <v>6.9630000000000001</v>
      </c>
      <c r="E11" s="4">
        <v>0</v>
      </c>
      <c r="F11" s="4">
        <v>390.47899999999998</v>
      </c>
      <c r="G11" s="4">
        <v>0</v>
      </c>
      <c r="H11" s="4">
        <v>312.00099999999998</v>
      </c>
      <c r="I11" s="4">
        <v>0</v>
      </c>
      <c r="J11" s="4">
        <v>0</v>
      </c>
      <c r="K11" s="5">
        <v>1.0619999999999999E-2</v>
      </c>
      <c r="L11" s="5">
        <v>1.0619999999999999E-2</v>
      </c>
      <c r="M11" s="2">
        <v>0</v>
      </c>
      <c r="N11" s="6">
        <v>4.7169999999999998E-8</v>
      </c>
      <c r="O11" s="9">
        <v>5.3610000000000002E-8</v>
      </c>
    </row>
    <row r="12" spans="1:22" x14ac:dyDescent="0.55000000000000004">
      <c r="A12" s="8" t="s">
        <v>17</v>
      </c>
      <c r="B12" s="3">
        <v>0.01</v>
      </c>
      <c r="C12" s="2">
        <v>0</v>
      </c>
      <c r="D12" s="4">
        <v>50.185000000000002</v>
      </c>
      <c r="E12" s="4">
        <v>0</v>
      </c>
      <c r="F12" s="4">
        <v>437.63600000000002</v>
      </c>
      <c r="G12" s="4">
        <v>0</v>
      </c>
      <c r="H12" s="4">
        <v>333.517</v>
      </c>
      <c r="I12" s="4">
        <v>0</v>
      </c>
      <c r="J12" s="4">
        <v>0</v>
      </c>
      <c r="K12" s="5">
        <v>822836.375</v>
      </c>
      <c r="L12" s="5">
        <v>822836.375</v>
      </c>
      <c r="M12" s="2">
        <v>0</v>
      </c>
      <c r="N12" s="6">
        <v>2.8969999999999998</v>
      </c>
      <c r="O12" s="9">
        <v>5.457E-3</v>
      </c>
    </row>
    <row r="13" spans="1:22" x14ac:dyDescent="0.55000000000000004">
      <c r="A13" s="8" t="s">
        <v>17</v>
      </c>
      <c r="B13" s="3">
        <v>3.0000000000000001E-3</v>
      </c>
      <c r="C13" s="2">
        <v>0</v>
      </c>
      <c r="D13" s="4">
        <v>26.283999999999999</v>
      </c>
      <c r="E13" s="4">
        <v>0</v>
      </c>
      <c r="F13" s="4">
        <v>435.45499999999998</v>
      </c>
      <c r="G13" s="4">
        <v>0</v>
      </c>
      <c r="H13" s="4">
        <v>332.71</v>
      </c>
      <c r="I13" s="4">
        <v>0</v>
      </c>
      <c r="J13" s="4">
        <v>0</v>
      </c>
      <c r="K13" s="5">
        <v>246850.921875</v>
      </c>
      <c r="L13" s="5">
        <v>246850.921875</v>
      </c>
      <c r="M13" s="2">
        <v>0</v>
      </c>
      <c r="N13" s="6">
        <v>0.23430000000000001</v>
      </c>
      <c r="O13" s="9">
        <v>5.0089999999999998E-4</v>
      </c>
    </row>
    <row r="14" spans="1:22" x14ac:dyDescent="0.55000000000000004">
      <c r="A14" s="8" t="s">
        <v>17</v>
      </c>
      <c r="B14" s="3">
        <v>1E-3</v>
      </c>
      <c r="C14" s="2">
        <v>0</v>
      </c>
      <c r="D14" s="4">
        <v>17.052</v>
      </c>
      <c r="E14" s="4">
        <v>0</v>
      </c>
      <c r="F14" s="4">
        <v>434.733</v>
      </c>
      <c r="G14" s="4">
        <v>0</v>
      </c>
      <c r="H14" s="4">
        <v>333.113</v>
      </c>
      <c r="I14" s="4">
        <v>0</v>
      </c>
      <c r="J14" s="4">
        <v>0</v>
      </c>
      <c r="K14" s="5">
        <v>82283.640625</v>
      </c>
      <c r="L14" s="5">
        <v>82283.640625</v>
      </c>
      <c r="M14" s="2">
        <v>0</v>
      </c>
      <c r="N14" s="6">
        <v>2.5170000000000001E-2</v>
      </c>
      <c r="O14" s="9">
        <v>5.304E-5</v>
      </c>
    </row>
    <row r="15" spans="1:22" x14ac:dyDescent="0.55000000000000004">
      <c r="A15" s="8" t="s">
        <v>17</v>
      </c>
      <c r="B15" s="3">
        <v>2.9999999999999997E-4</v>
      </c>
      <c r="C15" s="2">
        <v>0</v>
      </c>
      <c r="D15" s="4">
        <v>11.113</v>
      </c>
      <c r="E15" s="4">
        <v>0</v>
      </c>
      <c r="F15" s="4">
        <v>431.51299999999998</v>
      </c>
      <c r="G15" s="4">
        <v>0</v>
      </c>
      <c r="H15" s="4">
        <v>332.47899999999998</v>
      </c>
      <c r="I15" s="4">
        <v>0</v>
      </c>
      <c r="J15" s="4">
        <v>0</v>
      </c>
      <c r="K15" s="5">
        <v>24685.09375</v>
      </c>
      <c r="L15" s="5">
        <v>24685.09375</v>
      </c>
      <c r="M15" s="2">
        <v>0</v>
      </c>
      <c r="N15" s="6">
        <v>2.1929999999999998E-5</v>
      </c>
      <c r="O15" s="9">
        <v>4.6330000000000004E-6</v>
      </c>
    </row>
    <row r="16" spans="1:22" ht="14.7" thickBot="1" x14ac:dyDescent="0.6">
      <c r="A16" s="27" t="s">
        <v>17</v>
      </c>
      <c r="B16" s="28">
        <v>1E-4</v>
      </c>
      <c r="C16" s="29">
        <v>0</v>
      </c>
      <c r="D16" s="30">
        <v>7.423</v>
      </c>
      <c r="E16" s="30">
        <v>0</v>
      </c>
      <c r="F16" s="30">
        <v>424.18099999999998</v>
      </c>
      <c r="G16" s="30">
        <v>0</v>
      </c>
      <c r="H16" s="30">
        <v>326.29700000000003</v>
      </c>
      <c r="I16" s="30">
        <v>0</v>
      </c>
      <c r="J16" s="30">
        <v>0</v>
      </c>
      <c r="K16" s="31">
        <v>8228.3642579999996</v>
      </c>
      <c r="L16" s="31">
        <v>8228.3642579999996</v>
      </c>
      <c r="M16" s="29">
        <v>0</v>
      </c>
      <c r="N16" s="32">
        <v>9.6670000000000002E-4</v>
      </c>
      <c r="O16" s="33">
        <v>4.0149999999999999E-7</v>
      </c>
      <c r="Q16" s="1" t="s">
        <v>18</v>
      </c>
      <c r="R16" s="1" t="s">
        <v>19</v>
      </c>
      <c r="S16" s="1" t="s">
        <v>20</v>
      </c>
      <c r="U16" s="1" t="s">
        <v>21</v>
      </c>
      <c r="V16" s="1" t="s">
        <v>22</v>
      </c>
    </row>
    <row r="17" spans="1:22" x14ac:dyDescent="0.55000000000000004">
      <c r="A17" s="7" t="s">
        <v>15</v>
      </c>
      <c r="B17" s="34">
        <v>0.01</v>
      </c>
      <c r="C17" s="35">
        <v>1</v>
      </c>
      <c r="D17" s="36">
        <v>56.253999999999998</v>
      </c>
      <c r="E17" s="36">
        <v>830.73599999999999</v>
      </c>
      <c r="F17" s="36">
        <v>450.51</v>
      </c>
      <c r="G17" s="36">
        <v>292.10199999999998</v>
      </c>
      <c r="H17" s="36">
        <v>347.82299999999998</v>
      </c>
      <c r="I17" s="36">
        <v>192.77199999999999</v>
      </c>
      <c r="J17" s="36">
        <v>124.03100000000001</v>
      </c>
      <c r="K17" s="37">
        <v>0.99603399999999997</v>
      </c>
      <c r="L17" s="37">
        <v>0.89643099999999998</v>
      </c>
      <c r="M17" s="35">
        <v>0</v>
      </c>
      <c r="N17" s="38">
        <v>2.3800000000000001E-8</v>
      </c>
      <c r="O17" s="39">
        <v>9.2100000000000005E-4</v>
      </c>
      <c r="Q17" s="40">
        <f>D17/D2</f>
        <v>0.94114301010506596</v>
      </c>
      <c r="R17" s="41">
        <f>G17/F2</f>
        <v>0.65066848433817592</v>
      </c>
      <c r="S17" s="41">
        <f>J17/H2</f>
        <v>0.35656871144127</v>
      </c>
      <c r="U17" s="46">
        <f>N2/N17</f>
        <v>29340.336134453781</v>
      </c>
      <c r="V17" s="46">
        <f>O2/O17</f>
        <v>0.15211726384364818</v>
      </c>
    </row>
    <row r="18" spans="1:22" x14ac:dyDescent="0.55000000000000004">
      <c r="A18" s="8" t="s">
        <v>15</v>
      </c>
      <c r="B18" s="3">
        <v>3.0000000000000001E-3</v>
      </c>
      <c r="C18" s="2">
        <v>1</v>
      </c>
      <c r="D18" s="4">
        <v>32.686999999999998</v>
      </c>
      <c r="E18" s="4">
        <v>827.375</v>
      </c>
      <c r="F18" s="4">
        <v>444.09800000000001</v>
      </c>
      <c r="G18" s="4">
        <v>288.98399999999998</v>
      </c>
      <c r="H18" s="4">
        <v>343.62400000000002</v>
      </c>
      <c r="I18" s="4">
        <v>194.25200000000001</v>
      </c>
      <c r="J18" s="4">
        <v>124.098</v>
      </c>
      <c r="K18" s="5">
        <v>0.29881000000000002</v>
      </c>
      <c r="L18" s="5">
        <v>0.26892899999999997</v>
      </c>
      <c r="M18" s="2">
        <v>0</v>
      </c>
      <c r="N18" s="6">
        <v>1.3340000000000001E-8</v>
      </c>
      <c r="O18" s="9">
        <v>1.5779999999999999E-4</v>
      </c>
      <c r="Q18" s="40">
        <f t="shared" ref="Q18:Q31" si="0">D18/D3</f>
        <v>0.96308190925162052</v>
      </c>
      <c r="R18" s="41">
        <f t="shared" ref="R18:R31" si="1">G18/F3</f>
        <v>0.65162803283124371</v>
      </c>
      <c r="S18" s="41">
        <f t="shared" ref="S18:S31" si="2">J18/H3</f>
        <v>0.36166362118258044</v>
      </c>
      <c r="U18" s="46">
        <f t="shared" ref="U18:V31" si="3">N3/N18</f>
        <v>7961.0194902548728</v>
      </c>
      <c r="V18" s="46">
        <f t="shared" si="3"/>
        <v>7.7439797211660333E-2</v>
      </c>
    </row>
    <row r="19" spans="1:22" x14ac:dyDescent="0.55000000000000004">
      <c r="A19" s="8" t="s">
        <v>15</v>
      </c>
      <c r="B19" s="3">
        <v>1E-3</v>
      </c>
      <c r="C19" s="2">
        <v>1</v>
      </c>
      <c r="D19" s="4">
        <v>22.097999999999999</v>
      </c>
      <c r="E19" s="4">
        <v>825.33199999999999</v>
      </c>
      <c r="F19" s="4">
        <v>438.59500000000003</v>
      </c>
      <c r="G19" s="4">
        <v>286.39800000000002</v>
      </c>
      <c r="H19" s="4">
        <v>340.64400000000001</v>
      </c>
      <c r="I19" s="4">
        <v>193.16800000000001</v>
      </c>
      <c r="J19" s="4">
        <v>123.267</v>
      </c>
      <c r="K19" s="5">
        <v>9.9602999999999997E-2</v>
      </c>
      <c r="L19" s="5">
        <v>8.9643E-2</v>
      </c>
      <c r="M19" s="2">
        <v>0</v>
      </c>
      <c r="N19" s="6">
        <v>1.9289999999999999E-8</v>
      </c>
      <c r="O19" s="9">
        <v>2.3790000000000001E-5</v>
      </c>
      <c r="Q19" s="40">
        <f t="shared" si="0"/>
        <v>0.95439232961907228</v>
      </c>
      <c r="R19" s="41">
        <f t="shared" si="1"/>
        <v>0.64969964792566526</v>
      </c>
      <c r="S19" s="41">
        <f t="shared" si="2"/>
        <v>0.36223890070880305</v>
      </c>
      <c r="U19" s="46">
        <f t="shared" si="3"/>
        <v>858.99429756350435</v>
      </c>
      <c r="V19" s="46">
        <f t="shared" si="3"/>
        <v>6.7339218158890296E-2</v>
      </c>
    </row>
    <row r="20" spans="1:22" x14ac:dyDescent="0.55000000000000004">
      <c r="A20" s="8" t="s">
        <v>15</v>
      </c>
      <c r="B20" s="3">
        <v>2.9999999999999997E-4</v>
      </c>
      <c r="C20" s="2">
        <v>1</v>
      </c>
      <c r="D20" s="4">
        <v>14.1</v>
      </c>
      <c r="E20" s="4">
        <v>829.428</v>
      </c>
      <c r="F20" s="4">
        <v>431.858</v>
      </c>
      <c r="G20" s="4">
        <v>283.99200000000002</v>
      </c>
      <c r="H20" s="4">
        <v>337.327</v>
      </c>
      <c r="I20" s="4">
        <v>193.68899999999999</v>
      </c>
      <c r="J20" s="4">
        <v>123.041</v>
      </c>
      <c r="K20" s="5">
        <v>2.9881000000000001E-2</v>
      </c>
      <c r="L20" s="5">
        <v>2.6893E-2</v>
      </c>
      <c r="M20" s="2">
        <v>0</v>
      </c>
      <c r="N20" s="6">
        <v>1.6480000000000001E-9</v>
      </c>
      <c r="O20" s="9">
        <v>3.145E-6</v>
      </c>
      <c r="Q20" s="40">
        <f t="shared" si="0"/>
        <v>0.94510355921978684</v>
      </c>
      <c r="R20" s="41">
        <f t="shared" si="1"/>
        <v>0.65106511751597906</v>
      </c>
      <c r="S20" s="41">
        <f t="shared" si="2"/>
        <v>0.36419148312697763</v>
      </c>
      <c r="U20" s="46">
        <f t="shared" si="3"/>
        <v>1024.2718446601941</v>
      </c>
      <c r="V20" s="46">
        <f t="shared" si="3"/>
        <v>4.1081081081081078E-2</v>
      </c>
    </row>
    <row r="21" spans="1:22" x14ac:dyDescent="0.55000000000000004">
      <c r="A21" s="8" t="s">
        <v>15</v>
      </c>
      <c r="B21" s="3">
        <v>1E-4</v>
      </c>
      <c r="C21" s="2">
        <v>1</v>
      </c>
      <c r="D21" s="4">
        <v>9.41</v>
      </c>
      <c r="E21" s="4">
        <v>833.96</v>
      </c>
      <c r="F21" s="4">
        <v>422.17099999999999</v>
      </c>
      <c r="G21" s="4">
        <v>280.28399999999999</v>
      </c>
      <c r="H21" s="4">
        <v>332.38600000000002</v>
      </c>
      <c r="I21" s="4">
        <v>193.97399999999999</v>
      </c>
      <c r="J21" s="4">
        <v>122.491</v>
      </c>
      <c r="K21" s="5">
        <v>9.9600000000000001E-3</v>
      </c>
      <c r="L21" s="5">
        <v>8.9639999999999997E-3</v>
      </c>
      <c r="M21" s="2">
        <v>0</v>
      </c>
      <c r="N21" s="6">
        <v>1.9369999999999998E-9</v>
      </c>
      <c r="O21" s="9">
        <v>1.4169999999999999E-6</v>
      </c>
      <c r="Q21" s="40">
        <f t="shared" si="0"/>
        <v>0.93242172017439551</v>
      </c>
      <c r="R21" s="41">
        <f t="shared" si="1"/>
        <v>0.6579884546131074</v>
      </c>
      <c r="S21" s="41">
        <f t="shared" si="2"/>
        <v>0.36814818376903241</v>
      </c>
      <c r="U21" s="46">
        <f t="shared" si="3"/>
        <v>1059.370160041301</v>
      </c>
      <c r="V21" s="46">
        <f t="shared" si="3"/>
        <v>4.9830628087508821E-2</v>
      </c>
    </row>
    <row r="22" spans="1:22" x14ac:dyDescent="0.55000000000000004">
      <c r="A22" s="8" t="s">
        <v>16</v>
      </c>
      <c r="B22" s="3">
        <v>0.01</v>
      </c>
      <c r="C22" s="2">
        <v>1</v>
      </c>
      <c r="D22" s="4">
        <v>50.95</v>
      </c>
      <c r="E22" s="4">
        <v>558.23500000000001</v>
      </c>
      <c r="F22" s="4">
        <v>404.68799999999999</v>
      </c>
      <c r="G22" s="4">
        <v>234.61</v>
      </c>
      <c r="H22" s="4">
        <v>319.13799999999998</v>
      </c>
      <c r="I22" s="4">
        <v>68.528999999999996</v>
      </c>
      <c r="J22" s="4">
        <v>56.414999999999999</v>
      </c>
      <c r="K22" s="5">
        <v>1.062011</v>
      </c>
      <c r="L22" s="5">
        <v>0.95581000000000005</v>
      </c>
      <c r="M22" s="2">
        <v>0</v>
      </c>
      <c r="N22" s="6">
        <v>4.4100000000000003E-9</v>
      </c>
      <c r="O22" s="9">
        <v>3.3380000000000002E-5</v>
      </c>
      <c r="Q22" s="40">
        <f t="shared" si="0"/>
        <v>0.93093367440160801</v>
      </c>
      <c r="R22" s="41">
        <f t="shared" si="1"/>
        <v>0.58108171701585398</v>
      </c>
      <c r="S22" s="41">
        <f t="shared" si="2"/>
        <v>0.17677305742343438</v>
      </c>
      <c r="U22" s="46">
        <f t="shared" si="3"/>
        <v>6136.0544217687066</v>
      </c>
      <c r="V22" s="46">
        <f t="shared" si="3"/>
        <v>3.6698621929298976</v>
      </c>
    </row>
    <row r="23" spans="1:22" x14ac:dyDescent="0.55000000000000004">
      <c r="A23" s="8" t="s">
        <v>16</v>
      </c>
      <c r="B23" s="3">
        <v>3.0000000000000001E-3</v>
      </c>
      <c r="C23" s="2">
        <v>1</v>
      </c>
      <c r="D23" s="4">
        <v>24.594999999999999</v>
      </c>
      <c r="E23" s="4">
        <v>563.67200000000003</v>
      </c>
      <c r="F23" s="4">
        <v>403.33</v>
      </c>
      <c r="G23" s="4">
        <v>235.10400000000001</v>
      </c>
      <c r="H23" s="4">
        <v>318.00099999999998</v>
      </c>
      <c r="I23" s="4">
        <v>64.456999999999994</v>
      </c>
      <c r="J23" s="4">
        <v>53.594000000000001</v>
      </c>
      <c r="K23" s="5">
        <v>0.31860300000000003</v>
      </c>
      <c r="L23" s="5">
        <v>0.28674300000000003</v>
      </c>
      <c r="M23" s="2">
        <v>0</v>
      </c>
      <c r="N23" s="6">
        <v>1.4370000000000001E-8</v>
      </c>
      <c r="O23" s="9">
        <v>1.3190000000000001E-5</v>
      </c>
      <c r="Q23" s="40">
        <f t="shared" si="0"/>
        <v>0.94592515672474131</v>
      </c>
      <c r="R23" s="41">
        <f t="shared" si="1"/>
        <v>0.58742076450849634</v>
      </c>
      <c r="S23" s="41">
        <f t="shared" si="2"/>
        <v>0.16894526632348447</v>
      </c>
      <c r="U23" s="46">
        <f t="shared" si="3"/>
        <v>958.24634655532361</v>
      </c>
      <c r="V23" s="46">
        <f t="shared" si="3"/>
        <v>0.50765731614859744</v>
      </c>
    </row>
    <row r="24" spans="1:22" x14ac:dyDescent="0.55000000000000004">
      <c r="A24" s="8" t="s">
        <v>16</v>
      </c>
      <c r="B24" s="3">
        <v>1E-3</v>
      </c>
      <c r="C24" s="2">
        <v>1</v>
      </c>
      <c r="D24" s="4">
        <v>14.981999999999999</v>
      </c>
      <c r="E24" s="4">
        <v>564.28300000000002</v>
      </c>
      <c r="F24" s="4">
        <v>399.46300000000002</v>
      </c>
      <c r="G24" s="4">
        <v>233.89</v>
      </c>
      <c r="H24" s="4">
        <v>316.04000000000002</v>
      </c>
      <c r="I24" s="4">
        <v>67.816999999999993</v>
      </c>
      <c r="J24" s="4">
        <v>55.835000000000001</v>
      </c>
      <c r="K24" s="5">
        <v>0.106201</v>
      </c>
      <c r="L24" s="5">
        <v>9.5580999999999999E-2</v>
      </c>
      <c r="M24" s="2">
        <v>0</v>
      </c>
      <c r="N24" s="6">
        <v>1.48E-8</v>
      </c>
      <c r="O24" s="9">
        <v>1.392E-6</v>
      </c>
      <c r="Q24" s="40">
        <f t="shared" si="0"/>
        <v>0.96137063655030797</v>
      </c>
      <c r="R24" s="41">
        <f t="shared" si="1"/>
        <v>0.584387516209389</v>
      </c>
      <c r="S24" s="41">
        <f t="shared" si="2"/>
        <v>0.17617065852204064</v>
      </c>
      <c r="U24" s="46">
        <f t="shared" si="3"/>
        <v>17.689189189189186</v>
      </c>
      <c r="V24" s="46">
        <f t="shared" si="3"/>
        <v>2.0359195402298851</v>
      </c>
    </row>
    <row r="25" spans="1:22" x14ac:dyDescent="0.55000000000000004">
      <c r="A25" s="8" t="s">
        <v>16</v>
      </c>
      <c r="B25" s="3">
        <v>2.9999999999999997E-4</v>
      </c>
      <c r="C25" s="2">
        <v>1</v>
      </c>
      <c r="D25" s="4">
        <v>9.9450000000000003</v>
      </c>
      <c r="E25" s="4">
        <v>562.04999999999995</v>
      </c>
      <c r="F25" s="4">
        <v>397.63299999999998</v>
      </c>
      <c r="G25" s="4">
        <v>232.87899999999999</v>
      </c>
      <c r="H25" s="4">
        <v>314.86099999999999</v>
      </c>
      <c r="I25" s="4">
        <v>63.911000000000001</v>
      </c>
      <c r="J25" s="4">
        <v>53.127000000000002</v>
      </c>
      <c r="K25" s="5">
        <v>3.1859999999999999E-2</v>
      </c>
      <c r="L25" s="5">
        <v>2.8674000000000002E-2</v>
      </c>
      <c r="M25" s="2">
        <v>0</v>
      </c>
      <c r="N25" s="6">
        <v>1.089E-8</v>
      </c>
      <c r="O25" s="9">
        <v>2.266E-7</v>
      </c>
      <c r="Q25" s="40">
        <f t="shared" si="0"/>
        <v>0.97195074276778748</v>
      </c>
      <c r="R25" s="41">
        <f t="shared" si="1"/>
        <v>0.59378521853980426</v>
      </c>
      <c r="S25" s="41">
        <f t="shared" si="2"/>
        <v>0.16876536699724903</v>
      </c>
      <c r="U25" s="46">
        <f t="shared" si="3"/>
        <v>2.9292929292929295</v>
      </c>
      <c r="V25" s="46">
        <f t="shared" si="3"/>
        <v>0.80891438658428949</v>
      </c>
    </row>
    <row r="26" spans="1:22" x14ac:dyDescent="0.55000000000000004">
      <c r="A26" s="8" t="s">
        <v>16</v>
      </c>
      <c r="B26" s="3">
        <v>1E-4</v>
      </c>
      <c r="C26" s="2">
        <v>1</v>
      </c>
      <c r="D26" s="4">
        <v>6.74</v>
      </c>
      <c r="E26" s="4">
        <v>558.93399999999997</v>
      </c>
      <c r="F26" s="4">
        <v>387.81299999999999</v>
      </c>
      <c r="G26" s="4">
        <v>228.95400000000001</v>
      </c>
      <c r="H26" s="4">
        <v>311.87599999999998</v>
      </c>
      <c r="I26" s="4">
        <v>64.578000000000003</v>
      </c>
      <c r="J26" s="4">
        <v>53.5</v>
      </c>
      <c r="K26" s="5">
        <v>1.0619999999999999E-2</v>
      </c>
      <c r="L26" s="5">
        <v>9.5580000000000005E-3</v>
      </c>
      <c r="M26" s="2">
        <v>0</v>
      </c>
      <c r="N26" s="6">
        <v>1.5250000000000001E-8</v>
      </c>
      <c r="O26" s="9">
        <v>7.2230000000000006E-8</v>
      </c>
      <c r="Q26" s="40">
        <f t="shared" si="0"/>
        <v>0.96797357460864575</v>
      </c>
      <c r="R26" s="41">
        <f t="shared" si="1"/>
        <v>0.58634139095828464</v>
      </c>
      <c r="S26" s="41">
        <f t="shared" si="2"/>
        <v>0.17147380937881609</v>
      </c>
      <c r="U26" s="46">
        <f t="shared" si="3"/>
        <v>3.0931147540983606</v>
      </c>
      <c r="V26" s="46">
        <f t="shared" si="3"/>
        <v>0.74221237712861687</v>
      </c>
    </row>
    <row r="27" spans="1:22" x14ac:dyDescent="0.55000000000000004">
      <c r="A27" s="8" t="s">
        <v>17</v>
      </c>
      <c r="B27" s="3">
        <v>0.01</v>
      </c>
      <c r="C27" s="2">
        <v>1</v>
      </c>
      <c r="D27" s="4">
        <v>47.325000000000003</v>
      </c>
      <c r="E27" s="4">
        <v>807.995</v>
      </c>
      <c r="F27" s="4">
        <v>436.827</v>
      </c>
      <c r="G27" s="4">
        <v>283.53800000000001</v>
      </c>
      <c r="H27" s="4">
        <v>333.09300000000002</v>
      </c>
      <c r="I27" s="4">
        <v>178.75700000000001</v>
      </c>
      <c r="J27" s="4">
        <v>116.328</v>
      </c>
      <c r="K27" s="5">
        <v>822836.375</v>
      </c>
      <c r="L27" s="5">
        <v>740552.6875</v>
      </c>
      <c r="M27" s="2">
        <v>0</v>
      </c>
      <c r="N27" s="6">
        <v>9.2120000000000006E-5</v>
      </c>
      <c r="O27" s="9">
        <v>4.3870000000000003E-3</v>
      </c>
      <c r="Q27" s="40">
        <f t="shared" si="0"/>
        <v>0.94301085981867094</v>
      </c>
      <c r="R27" s="41">
        <f t="shared" si="1"/>
        <v>0.64788545732069569</v>
      </c>
      <c r="S27" s="41">
        <f t="shared" si="2"/>
        <v>0.34879181570954404</v>
      </c>
      <c r="U27" s="46">
        <f t="shared" si="3"/>
        <v>31448.111159357355</v>
      </c>
      <c r="V27" s="46">
        <f t="shared" si="3"/>
        <v>1.2439024390243902</v>
      </c>
    </row>
    <row r="28" spans="1:22" x14ac:dyDescent="0.55000000000000004">
      <c r="A28" s="8" t="s">
        <v>17</v>
      </c>
      <c r="B28" s="3">
        <v>3.0000000000000001E-3</v>
      </c>
      <c r="C28" s="2">
        <v>1</v>
      </c>
      <c r="D28" s="4">
        <v>25.004000000000001</v>
      </c>
      <c r="E28" s="4">
        <v>812.495</v>
      </c>
      <c r="F28" s="4">
        <v>434.30500000000001</v>
      </c>
      <c r="G28" s="4">
        <v>283.02100000000002</v>
      </c>
      <c r="H28" s="4">
        <v>333.09899999999999</v>
      </c>
      <c r="I28" s="4">
        <v>179.47800000000001</v>
      </c>
      <c r="J28" s="4">
        <v>116.634</v>
      </c>
      <c r="K28" s="5">
        <v>246850.921875</v>
      </c>
      <c r="L28" s="5">
        <v>222165.828125</v>
      </c>
      <c r="M28" s="2">
        <v>0</v>
      </c>
      <c r="N28" s="6">
        <v>9.2109999999999997E-5</v>
      </c>
      <c r="O28" s="9">
        <v>3.7639999999999999E-4</v>
      </c>
      <c r="Q28" s="40">
        <f t="shared" si="0"/>
        <v>0.95130117181555329</v>
      </c>
      <c r="R28" s="41">
        <f t="shared" si="1"/>
        <v>0.64994316289857745</v>
      </c>
      <c r="S28" s="41">
        <f t="shared" si="2"/>
        <v>0.35055754260467076</v>
      </c>
      <c r="U28" s="46">
        <f t="shared" si="3"/>
        <v>2543.697752687005</v>
      </c>
      <c r="V28" s="46">
        <f t="shared" si="3"/>
        <v>1.3307651434643997</v>
      </c>
    </row>
    <row r="29" spans="1:22" x14ac:dyDescent="0.55000000000000004">
      <c r="A29" s="8" t="s">
        <v>17</v>
      </c>
      <c r="B29" s="3">
        <v>1E-3</v>
      </c>
      <c r="C29" s="2">
        <v>1</v>
      </c>
      <c r="D29" s="4">
        <v>16.466000000000001</v>
      </c>
      <c r="E29" s="4">
        <v>810.65</v>
      </c>
      <c r="F29" s="4">
        <v>433.76600000000002</v>
      </c>
      <c r="G29" s="4">
        <v>282.56799999999998</v>
      </c>
      <c r="H29" s="4">
        <v>332.88099999999997</v>
      </c>
      <c r="I29" s="4">
        <v>179.44300000000001</v>
      </c>
      <c r="J29" s="4">
        <v>116.593</v>
      </c>
      <c r="K29" s="5">
        <v>82283.640625</v>
      </c>
      <c r="L29" s="5">
        <v>74055.273438000004</v>
      </c>
      <c r="M29" s="2">
        <v>0</v>
      </c>
      <c r="N29" s="6">
        <v>1.5100000000000001E-4</v>
      </c>
      <c r="O29" s="9">
        <v>4.473E-5</v>
      </c>
      <c r="Q29" s="40">
        <f t="shared" si="0"/>
        <v>0.96563452967393859</v>
      </c>
      <c r="R29" s="41">
        <f t="shared" si="1"/>
        <v>0.64998056278221339</v>
      </c>
      <c r="S29" s="41">
        <f t="shared" si="2"/>
        <v>0.35001035684587511</v>
      </c>
      <c r="U29" s="46">
        <f t="shared" si="3"/>
        <v>166.68874172185431</v>
      </c>
      <c r="V29" s="46">
        <f t="shared" si="3"/>
        <v>1.1857813547954392</v>
      </c>
    </row>
    <row r="30" spans="1:22" x14ac:dyDescent="0.55000000000000004">
      <c r="A30" s="8" t="s">
        <v>17</v>
      </c>
      <c r="B30" s="3">
        <v>2.9999999999999997E-4</v>
      </c>
      <c r="C30" s="2">
        <v>1</v>
      </c>
      <c r="D30" s="4">
        <v>10.664999999999999</v>
      </c>
      <c r="E30" s="4">
        <v>810.61099999999999</v>
      </c>
      <c r="F30" s="4">
        <v>431.24700000000001</v>
      </c>
      <c r="G30" s="4">
        <v>281.49200000000002</v>
      </c>
      <c r="H30" s="4">
        <v>332.18900000000002</v>
      </c>
      <c r="I30" s="4">
        <v>173.95099999999999</v>
      </c>
      <c r="J30" s="4">
        <v>114.167</v>
      </c>
      <c r="K30" s="5">
        <v>24685.09375</v>
      </c>
      <c r="L30" s="5">
        <v>22216.583984000001</v>
      </c>
      <c r="M30" s="2">
        <v>0</v>
      </c>
      <c r="N30" s="6">
        <v>3.2750000000000003E-5</v>
      </c>
      <c r="O30" s="9">
        <v>3.1779999999999999E-6</v>
      </c>
      <c r="Q30" s="40">
        <f t="shared" si="0"/>
        <v>0.95968685323495007</v>
      </c>
      <c r="R30" s="41">
        <f t="shared" si="1"/>
        <v>0.65233724128821158</v>
      </c>
      <c r="S30" s="41">
        <f t="shared" si="2"/>
        <v>0.34338108572270731</v>
      </c>
      <c r="U30" s="46">
        <f t="shared" si="3"/>
        <v>0.66961832061068693</v>
      </c>
      <c r="V30" s="46">
        <f t="shared" si="3"/>
        <v>1.4578351164254248</v>
      </c>
    </row>
    <row r="31" spans="1:22" ht="14.7" thickBot="1" x14ac:dyDescent="0.6">
      <c r="A31" s="10" t="s">
        <v>17</v>
      </c>
      <c r="B31" s="11">
        <v>1E-4</v>
      </c>
      <c r="C31" s="12">
        <v>1</v>
      </c>
      <c r="D31" s="13">
        <v>7.1760000000000002</v>
      </c>
      <c r="E31" s="13">
        <v>812.10199999999998</v>
      </c>
      <c r="F31" s="13">
        <v>426.25</v>
      </c>
      <c r="G31" s="13">
        <v>279.53199999999998</v>
      </c>
      <c r="H31" s="13">
        <v>325.84699999999998</v>
      </c>
      <c r="I31" s="13">
        <v>177.95099999999999</v>
      </c>
      <c r="J31" s="13">
        <v>115.095</v>
      </c>
      <c r="K31" s="14">
        <v>8228.3642579999996</v>
      </c>
      <c r="L31" s="14">
        <v>7405.5278319999998</v>
      </c>
      <c r="M31" s="12">
        <v>0</v>
      </c>
      <c r="N31" s="15">
        <v>1.9939999999999999E-6</v>
      </c>
      <c r="O31" s="16">
        <v>4.665E-7</v>
      </c>
      <c r="Q31" s="42">
        <f t="shared" si="0"/>
        <v>0.96672504378283719</v>
      </c>
      <c r="R31" s="43">
        <f t="shared" si="1"/>
        <v>0.65899226980935022</v>
      </c>
      <c r="S31" s="43">
        <f t="shared" si="2"/>
        <v>0.3527307943376739</v>
      </c>
      <c r="U31" s="47">
        <f t="shared" si="3"/>
        <v>484.80441323971922</v>
      </c>
      <c r="V31" s="47">
        <f t="shared" si="3"/>
        <v>0.86066452304394425</v>
      </c>
    </row>
    <row r="32" spans="1:22" x14ac:dyDescent="0.55000000000000004">
      <c r="A32" s="17" t="s">
        <v>15</v>
      </c>
      <c r="B32" s="18">
        <v>0.01</v>
      </c>
      <c r="C32" s="19">
        <v>2</v>
      </c>
      <c r="D32" s="20">
        <v>56.253999999999998</v>
      </c>
      <c r="E32" s="20">
        <v>718.89400000000001</v>
      </c>
      <c r="F32" s="20">
        <v>449.12700000000001</v>
      </c>
      <c r="G32" s="20">
        <v>276.42899999999997</v>
      </c>
      <c r="H32" s="20">
        <v>348.214</v>
      </c>
      <c r="I32" s="20">
        <v>269.392</v>
      </c>
      <c r="J32" s="20">
        <v>151.887</v>
      </c>
      <c r="K32" s="21">
        <v>0.99603399999999997</v>
      </c>
      <c r="L32" s="21">
        <v>0.89643099999999998</v>
      </c>
      <c r="M32" s="19">
        <v>0</v>
      </c>
      <c r="N32" s="22">
        <v>7.0680000000000005E-4</v>
      </c>
      <c r="O32" s="23">
        <v>1.781E-9</v>
      </c>
      <c r="Q32" s="40">
        <f>D32/D2</f>
        <v>0.94114301010506596</v>
      </c>
      <c r="R32" s="41">
        <f>G32/F2</f>
        <v>0.61575627163496871</v>
      </c>
      <c r="S32" s="41">
        <f>J32/H2</f>
        <v>0.43665012678024184</v>
      </c>
      <c r="U32" s="46">
        <f>N2/N32</f>
        <v>0.9879739671760045</v>
      </c>
      <c r="V32" s="46">
        <f>O2/O32</f>
        <v>78663.672094329027</v>
      </c>
    </row>
    <row r="33" spans="1:22" x14ac:dyDescent="0.55000000000000004">
      <c r="A33" s="8" t="s">
        <v>15</v>
      </c>
      <c r="B33" s="3">
        <v>3.0000000000000001E-3</v>
      </c>
      <c r="C33" s="2">
        <v>2</v>
      </c>
      <c r="D33" s="4">
        <v>32.686999999999998</v>
      </c>
      <c r="E33" s="4">
        <v>718.91899999999998</v>
      </c>
      <c r="F33" s="4">
        <v>444.36</v>
      </c>
      <c r="G33" s="4">
        <v>274.61900000000003</v>
      </c>
      <c r="H33" s="4">
        <v>343.62900000000002</v>
      </c>
      <c r="I33" s="4">
        <v>270.83300000000003</v>
      </c>
      <c r="J33" s="4">
        <v>151.46</v>
      </c>
      <c r="K33" s="5">
        <v>0.29881000000000002</v>
      </c>
      <c r="L33" s="5">
        <v>0.26892899999999997</v>
      </c>
      <c r="M33" s="2">
        <v>0</v>
      </c>
      <c r="N33" s="6">
        <v>1.2219999999999999E-4</v>
      </c>
      <c r="O33" s="9">
        <v>2.2590000000000002E-9</v>
      </c>
      <c r="Q33" s="40">
        <f t="shared" ref="Q33:Q46" si="4">D33/D3</f>
        <v>0.96308190925162052</v>
      </c>
      <c r="R33" s="41">
        <f t="shared" ref="R33:R46" si="5">G33/F3</f>
        <v>0.61923649319022278</v>
      </c>
      <c r="S33" s="41">
        <f t="shared" ref="S33:S46" si="6">J33/H3</f>
        <v>0.4414057604821483</v>
      </c>
      <c r="U33" s="46">
        <f t="shared" ref="U33:V46" si="7">N3/N33</f>
        <v>0.8690671031096564</v>
      </c>
      <c r="V33" s="46">
        <f t="shared" si="7"/>
        <v>5409.4732182381576</v>
      </c>
    </row>
    <row r="34" spans="1:22" x14ac:dyDescent="0.55000000000000004">
      <c r="A34" s="8" t="s">
        <v>15</v>
      </c>
      <c r="B34" s="3">
        <v>1E-3</v>
      </c>
      <c r="C34" s="2">
        <v>2</v>
      </c>
      <c r="D34" s="4">
        <v>22.097999999999999</v>
      </c>
      <c r="E34" s="4">
        <v>714.86800000000005</v>
      </c>
      <c r="F34" s="4">
        <v>439.89600000000002</v>
      </c>
      <c r="G34" s="4">
        <v>272.322</v>
      </c>
      <c r="H34" s="4">
        <v>340.64400000000001</v>
      </c>
      <c r="I34" s="4">
        <v>269.72300000000001</v>
      </c>
      <c r="J34" s="4">
        <v>150.53200000000001</v>
      </c>
      <c r="K34" s="5">
        <v>9.9602999999999997E-2</v>
      </c>
      <c r="L34" s="5">
        <v>8.9643E-2</v>
      </c>
      <c r="M34" s="2">
        <v>0</v>
      </c>
      <c r="N34" s="6">
        <v>1.8600000000000001E-5</v>
      </c>
      <c r="O34" s="9">
        <v>2.2579999999999999E-9</v>
      </c>
      <c r="Q34" s="40">
        <f t="shared" si="4"/>
        <v>0.95439232961907228</v>
      </c>
      <c r="R34" s="41">
        <f t="shared" si="5"/>
        <v>0.61776795760589454</v>
      </c>
      <c r="S34" s="41">
        <f t="shared" si="6"/>
        <v>0.44236126620666966</v>
      </c>
      <c r="U34" s="46">
        <f t="shared" si="7"/>
        <v>0.89086021505376334</v>
      </c>
      <c r="V34" s="46">
        <f t="shared" si="7"/>
        <v>709.47741364038984</v>
      </c>
    </row>
    <row r="35" spans="1:22" x14ac:dyDescent="0.55000000000000004">
      <c r="A35" s="8" t="s">
        <v>15</v>
      </c>
      <c r="B35" s="3">
        <v>2.9999999999999997E-4</v>
      </c>
      <c r="C35" s="2">
        <v>2</v>
      </c>
      <c r="D35" s="4">
        <v>14.1</v>
      </c>
      <c r="E35" s="4">
        <v>714.28599999999994</v>
      </c>
      <c r="F35" s="4">
        <v>431.84100000000001</v>
      </c>
      <c r="G35" s="4">
        <v>269.13099999999997</v>
      </c>
      <c r="H35" s="4">
        <v>337.5</v>
      </c>
      <c r="I35" s="4">
        <v>268.72500000000002</v>
      </c>
      <c r="J35" s="4">
        <v>149.60599999999999</v>
      </c>
      <c r="K35" s="5">
        <v>2.9881000000000001E-2</v>
      </c>
      <c r="L35" s="5">
        <v>2.6893E-2</v>
      </c>
      <c r="M35" s="2">
        <v>0</v>
      </c>
      <c r="N35" s="6">
        <v>2.4569999999999999E-6</v>
      </c>
      <c r="O35" s="9">
        <v>4.3380000000000002E-8</v>
      </c>
      <c r="Q35" s="40">
        <f t="shared" si="4"/>
        <v>0.94510355921978684</v>
      </c>
      <c r="R35" s="41">
        <f t="shared" si="5"/>
        <v>0.61699557079844836</v>
      </c>
      <c r="S35" s="41">
        <f t="shared" si="6"/>
        <v>0.44282175067412172</v>
      </c>
      <c r="U35" s="46">
        <f t="shared" si="7"/>
        <v>0.68701668701668706</v>
      </c>
      <c r="V35" s="46">
        <f t="shared" si="7"/>
        <v>2.9783310281235589</v>
      </c>
    </row>
    <row r="36" spans="1:22" x14ac:dyDescent="0.55000000000000004">
      <c r="A36" s="8" t="s">
        <v>15</v>
      </c>
      <c r="B36" s="3">
        <v>1E-4</v>
      </c>
      <c r="C36" s="2">
        <v>2</v>
      </c>
      <c r="D36" s="4">
        <v>9.41</v>
      </c>
      <c r="E36" s="4">
        <v>722.12300000000005</v>
      </c>
      <c r="F36" s="4">
        <v>422.798</v>
      </c>
      <c r="G36" s="4">
        <v>266.66699999999997</v>
      </c>
      <c r="H36" s="4">
        <v>332.21899999999999</v>
      </c>
      <c r="I36" s="4">
        <v>270.84399999999999</v>
      </c>
      <c r="J36" s="4">
        <v>149.20400000000001</v>
      </c>
      <c r="K36" s="5">
        <v>9.9600000000000001E-3</v>
      </c>
      <c r="L36" s="5">
        <v>8.9639999999999997E-3</v>
      </c>
      <c r="M36" s="2">
        <v>0</v>
      </c>
      <c r="N36" s="6">
        <v>1.0759999999999999E-6</v>
      </c>
      <c r="O36" s="9">
        <v>4.9730000000000003E-8</v>
      </c>
      <c r="Q36" s="40">
        <f t="shared" si="4"/>
        <v>0.93242172017439551</v>
      </c>
      <c r="R36" s="41">
        <f t="shared" si="5"/>
        <v>0.62602148972582639</v>
      </c>
      <c r="S36" s="41">
        <f t="shared" si="6"/>
        <v>0.44843442874231343</v>
      </c>
      <c r="U36" s="46">
        <f t="shared" si="7"/>
        <v>1.9070631970260223</v>
      </c>
      <c r="V36" s="46">
        <f t="shared" si="7"/>
        <v>1.4198672833299817</v>
      </c>
    </row>
    <row r="37" spans="1:22" x14ac:dyDescent="0.55000000000000004">
      <c r="A37" s="8" t="s">
        <v>16</v>
      </c>
      <c r="B37" s="3">
        <v>0.01</v>
      </c>
      <c r="C37" s="2">
        <v>2</v>
      </c>
      <c r="D37" s="4">
        <v>50.95</v>
      </c>
      <c r="E37" s="4">
        <v>543.85699999999997</v>
      </c>
      <c r="F37" s="4">
        <v>407.96300000000002</v>
      </c>
      <c r="G37" s="4">
        <v>233.10499999999999</v>
      </c>
      <c r="H37" s="4">
        <v>320.18400000000003</v>
      </c>
      <c r="I37" s="4">
        <v>288.15100000000001</v>
      </c>
      <c r="J37" s="4">
        <v>151.66200000000001</v>
      </c>
      <c r="K37" s="5">
        <v>1.062011</v>
      </c>
      <c r="L37" s="5">
        <v>0.95581000000000005</v>
      </c>
      <c r="M37" s="2">
        <v>0</v>
      </c>
      <c r="N37" s="6">
        <v>3.6050000000000002E-5</v>
      </c>
      <c r="O37" s="9">
        <v>3.1949999999999998E-10</v>
      </c>
      <c r="Q37" s="40">
        <f t="shared" si="4"/>
        <v>0.93093367440160801</v>
      </c>
      <c r="R37" s="41">
        <f t="shared" si="5"/>
        <v>0.57735413513908462</v>
      </c>
      <c r="S37" s="41">
        <f t="shared" si="6"/>
        <v>0.47522388433843671</v>
      </c>
      <c r="U37" s="46">
        <f t="shared" si="7"/>
        <v>0.75062413314840493</v>
      </c>
      <c r="V37" s="46">
        <f t="shared" si="7"/>
        <v>383411.58059467917</v>
      </c>
    </row>
    <row r="38" spans="1:22" x14ac:dyDescent="0.55000000000000004">
      <c r="A38" s="8" t="s">
        <v>16</v>
      </c>
      <c r="B38" s="3">
        <v>3.0000000000000001E-3</v>
      </c>
      <c r="C38" s="2">
        <v>2</v>
      </c>
      <c r="D38" s="4">
        <v>24.594999999999999</v>
      </c>
      <c r="E38" s="4">
        <v>497.77</v>
      </c>
      <c r="F38" s="4">
        <v>394.72</v>
      </c>
      <c r="G38" s="4">
        <v>220.148</v>
      </c>
      <c r="H38" s="4">
        <v>318.09899999999999</v>
      </c>
      <c r="I38" s="4">
        <v>285.31</v>
      </c>
      <c r="J38" s="4">
        <v>150.40700000000001</v>
      </c>
      <c r="K38" s="5">
        <v>0.31860300000000003</v>
      </c>
      <c r="L38" s="5">
        <v>0.28674300000000003</v>
      </c>
      <c r="M38" s="2">
        <v>0</v>
      </c>
      <c r="N38" s="6">
        <v>4.4989999999999996E-6</v>
      </c>
      <c r="O38" s="9">
        <v>5.8829999999999996E-9</v>
      </c>
      <c r="Q38" s="40">
        <f t="shared" si="4"/>
        <v>0.94592515672474131</v>
      </c>
      <c r="R38" s="41">
        <f t="shared" si="5"/>
        <v>0.55005234477089482</v>
      </c>
      <c r="S38" s="41">
        <f t="shared" si="6"/>
        <v>0.47413051221995611</v>
      </c>
      <c r="U38" s="46">
        <f t="shared" si="7"/>
        <v>3.060680151144699</v>
      </c>
      <c r="V38" s="46">
        <f t="shared" si="7"/>
        <v>1138.1947985721572</v>
      </c>
    </row>
    <row r="39" spans="1:22" x14ac:dyDescent="0.55000000000000004">
      <c r="A39" s="8" t="s">
        <v>16</v>
      </c>
      <c r="B39" s="3">
        <v>1E-3</v>
      </c>
      <c r="C39" s="2">
        <v>2</v>
      </c>
      <c r="D39" s="4">
        <v>14.981999999999999</v>
      </c>
      <c r="E39" s="4">
        <v>549.20899999999995</v>
      </c>
      <c r="F39" s="4">
        <v>401.61900000000003</v>
      </c>
      <c r="G39" s="4">
        <v>231.98</v>
      </c>
      <c r="H39" s="4">
        <v>319.23599999999999</v>
      </c>
      <c r="I39" s="4">
        <v>288.072</v>
      </c>
      <c r="J39" s="4">
        <v>151.42699999999999</v>
      </c>
      <c r="K39" s="5">
        <v>0.106201</v>
      </c>
      <c r="L39" s="5">
        <v>9.5580999999999999E-2</v>
      </c>
      <c r="M39" s="2">
        <v>0</v>
      </c>
      <c r="N39" s="6">
        <v>8.3920000000000005E-7</v>
      </c>
      <c r="O39" s="9">
        <v>1.7830000000000002E-8</v>
      </c>
      <c r="Q39" s="40">
        <f t="shared" si="4"/>
        <v>0.96137063655030797</v>
      </c>
      <c r="R39" s="41">
        <f t="shared" si="5"/>
        <v>0.57961527218031583</v>
      </c>
      <c r="S39" s="41">
        <f t="shared" si="6"/>
        <v>0.4777826508107289</v>
      </c>
      <c r="U39" s="46">
        <f t="shared" si="7"/>
        <v>0.31196377502383216</v>
      </c>
      <c r="V39" s="46">
        <f t="shared" si="7"/>
        <v>158.945597307908</v>
      </c>
    </row>
    <row r="40" spans="1:22" x14ac:dyDescent="0.55000000000000004">
      <c r="A40" s="8" t="s">
        <v>16</v>
      </c>
      <c r="B40" s="3">
        <v>2.9999999999999997E-4</v>
      </c>
      <c r="C40" s="2">
        <v>2</v>
      </c>
      <c r="D40" s="4">
        <v>9.9450000000000003</v>
      </c>
      <c r="E40" s="4">
        <v>540.09699999999998</v>
      </c>
      <c r="F40" s="4">
        <v>394.67</v>
      </c>
      <c r="G40" s="4">
        <v>228.036</v>
      </c>
      <c r="H40" s="4">
        <v>314.92500000000001</v>
      </c>
      <c r="I40" s="4">
        <v>283.06200000000001</v>
      </c>
      <c r="J40" s="4">
        <v>149.072</v>
      </c>
      <c r="K40" s="5">
        <v>3.1859999999999999E-2</v>
      </c>
      <c r="L40" s="5">
        <v>2.8674000000000002E-2</v>
      </c>
      <c r="M40" s="2">
        <v>0</v>
      </c>
      <c r="N40" s="6">
        <v>1.4460000000000001E-7</v>
      </c>
      <c r="O40" s="9">
        <v>9.2929999999999999E-10</v>
      </c>
      <c r="Q40" s="40">
        <f t="shared" si="4"/>
        <v>0.97195074276778748</v>
      </c>
      <c r="R40" s="41">
        <f t="shared" si="5"/>
        <v>0.58143673794091699</v>
      </c>
      <c r="S40" s="41">
        <f t="shared" si="6"/>
        <v>0.47354811656999091</v>
      </c>
      <c r="U40" s="46">
        <f t="shared" si="7"/>
        <v>0.22060857538035961</v>
      </c>
      <c r="V40" s="46">
        <f t="shared" si="7"/>
        <v>197.24523835144734</v>
      </c>
    </row>
    <row r="41" spans="1:22" x14ac:dyDescent="0.55000000000000004">
      <c r="A41" s="8" t="s">
        <v>16</v>
      </c>
      <c r="B41" s="3">
        <v>1E-4</v>
      </c>
      <c r="C41" s="2">
        <v>2</v>
      </c>
      <c r="D41" s="4">
        <v>6.74</v>
      </c>
      <c r="E41" s="4">
        <v>552.70600000000002</v>
      </c>
      <c r="F41" s="4">
        <v>388.392</v>
      </c>
      <c r="G41" s="4">
        <v>228.102</v>
      </c>
      <c r="H41" s="4">
        <v>311.97000000000003</v>
      </c>
      <c r="I41" s="4">
        <v>282.24400000000003</v>
      </c>
      <c r="J41" s="4">
        <v>148.18199999999999</v>
      </c>
      <c r="K41" s="5">
        <v>1.0619999999999999E-2</v>
      </c>
      <c r="L41" s="5">
        <v>9.5580000000000005E-3</v>
      </c>
      <c r="M41" s="2">
        <v>0</v>
      </c>
      <c r="N41" s="6">
        <v>3.8229999999999999E-8</v>
      </c>
      <c r="O41" s="9">
        <v>4.6649999999999998E-8</v>
      </c>
      <c r="Q41" s="40">
        <f t="shared" si="4"/>
        <v>0.96797357460864575</v>
      </c>
      <c r="R41" s="41">
        <f t="shared" si="5"/>
        <v>0.58415945543806458</v>
      </c>
      <c r="S41" s="41">
        <f t="shared" si="6"/>
        <v>0.4749407854462005</v>
      </c>
      <c r="U41" s="46">
        <f t="shared" si="7"/>
        <v>1.2338477635364897</v>
      </c>
      <c r="V41" s="46">
        <f t="shared" si="7"/>
        <v>1.1491961414790999</v>
      </c>
    </row>
    <row r="42" spans="1:22" x14ac:dyDescent="0.55000000000000004">
      <c r="A42" s="8" t="s">
        <v>17</v>
      </c>
      <c r="B42" s="3">
        <v>0.01</v>
      </c>
      <c r="C42" s="2">
        <v>2</v>
      </c>
      <c r="D42" s="4">
        <v>47.325000000000003</v>
      </c>
      <c r="E42" s="4">
        <v>703.27</v>
      </c>
      <c r="F42" s="4">
        <v>437.80700000000002</v>
      </c>
      <c r="G42" s="4">
        <v>269.83</v>
      </c>
      <c r="H42" s="4">
        <v>333.09300000000002</v>
      </c>
      <c r="I42" s="4">
        <v>272.35700000000003</v>
      </c>
      <c r="J42" s="4">
        <v>149.839</v>
      </c>
      <c r="K42" s="5">
        <v>822836.375</v>
      </c>
      <c r="L42" s="5">
        <v>740552.6875</v>
      </c>
      <c r="M42" s="2">
        <v>1</v>
      </c>
      <c r="N42" s="6">
        <v>0.4748</v>
      </c>
      <c r="O42" s="9">
        <v>2.3119999999999999E-9</v>
      </c>
      <c r="Q42" s="40">
        <f t="shared" si="4"/>
        <v>0.94301085981867094</v>
      </c>
      <c r="R42" s="41">
        <f t="shared" si="5"/>
        <v>0.61656262281896368</v>
      </c>
      <c r="S42" s="41">
        <f t="shared" si="6"/>
        <v>0.44926945253165507</v>
      </c>
      <c r="U42" s="46">
        <f t="shared" si="7"/>
        <v>6.1015164279696714</v>
      </c>
      <c r="V42" s="46">
        <f t="shared" si="7"/>
        <v>2360294.1176470588</v>
      </c>
    </row>
    <row r="43" spans="1:22" x14ac:dyDescent="0.55000000000000004">
      <c r="A43" s="8" t="s">
        <v>17</v>
      </c>
      <c r="B43" s="3">
        <v>3.0000000000000001E-3</v>
      </c>
      <c r="C43" s="2">
        <v>2</v>
      </c>
      <c r="D43" s="4">
        <v>25.004000000000001</v>
      </c>
      <c r="E43" s="4">
        <v>710.02599999999995</v>
      </c>
      <c r="F43" s="4">
        <v>436.03199999999998</v>
      </c>
      <c r="G43" s="4">
        <v>270.13799999999998</v>
      </c>
      <c r="H43" s="4">
        <v>333.30500000000001</v>
      </c>
      <c r="I43" s="4">
        <v>271.54599999999999</v>
      </c>
      <c r="J43" s="4">
        <v>149.636</v>
      </c>
      <c r="K43" s="5">
        <v>246850.921875</v>
      </c>
      <c r="L43" s="5">
        <v>222165.828125</v>
      </c>
      <c r="M43" s="2">
        <v>0</v>
      </c>
      <c r="N43" s="6">
        <v>0.21129999999999999</v>
      </c>
      <c r="O43" s="9">
        <v>3.538E-9</v>
      </c>
      <c r="Q43" s="40">
        <f t="shared" si="4"/>
        <v>0.95130117181555329</v>
      </c>
      <c r="R43" s="41">
        <f t="shared" si="5"/>
        <v>0.62035801632774912</v>
      </c>
      <c r="S43" s="41">
        <f t="shared" si="6"/>
        <v>0.44974903068738542</v>
      </c>
      <c r="U43" s="46">
        <f t="shared" si="7"/>
        <v>1.1088499763369617</v>
      </c>
      <c r="V43" s="46">
        <f t="shared" si="7"/>
        <v>141577.16223855285</v>
      </c>
    </row>
    <row r="44" spans="1:22" x14ac:dyDescent="0.55000000000000004">
      <c r="A44" s="8" t="s">
        <v>17</v>
      </c>
      <c r="B44" s="3">
        <v>1E-3</v>
      </c>
      <c r="C44" s="2">
        <v>2</v>
      </c>
      <c r="D44" s="4">
        <v>16.466000000000001</v>
      </c>
      <c r="E44" s="4">
        <v>707.27300000000002</v>
      </c>
      <c r="F44" s="4">
        <v>434.72199999999998</v>
      </c>
      <c r="G44" s="4">
        <v>269.23700000000002</v>
      </c>
      <c r="H44" s="4">
        <v>333.09300000000002</v>
      </c>
      <c r="I44" s="4">
        <v>272.38</v>
      </c>
      <c r="J44" s="4">
        <v>149.846</v>
      </c>
      <c r="K44" s="5">
        <v>82283.640625</v>
      </c>
      <c r="L44" s="5">
        <v>74055.273438000004</v>
      </c>
      <c r="M44" s="2">
        <v>0</v>
      </c>
      <c r="N44" s="6">
        <v>5.2259999999999997E-3</v>
      </c>
      <c r="O44" s="9">
        <v>3.1129999999999999E-9</v>
      </c>
      <c r="Q44" s="40">
        <f t="shared" si="4"/>
        <v>0.96563452967393859</v>
      </c>
      <c r="R44" s="41">
        <f t="shared" si="5"/>
        <v>0.61931576392866428</v>
      </c>
      <c r="S44" s="41">
        <f t="shared" si="6"/>
        <v>0.44983534116050711</v>
      </c>
      <c r="U44" s="46">
        <f t="shared" si="7"/>
        <v>4.8163030998851903</v>
      </c>
      <c r="V44" s="46">
        <f t="shared" si="7"/>
        <v>17038.226790876968</v>
      </c>
    </row>
    <row r="45" spans="1:22" x14ac:dyDescent="0.55000000000000004">
      <c r="A45" s="8" t="s">
        <v>17</v>
      </c>
      <c r="B45" s="3">
        <v>2.9999999999999997E-4</v>
      </c>
      <c r="C45" s="2">
        <v>2</v>
      </c>
      <c r="D45" s="4">
        <v>10.664999999999999</v>
      </c>
      <c r="E45" s="4">
        <v>706.40899999999999</v>
      </c>
      <c r="F45" s="4">
        <v>429.887</v>
      </c>
      <c r="G45" s="4">
        <v>267.25099999999998</v>
      </c>
      <c r="H45" s="4">
        <v>331.86700000000002</v>
      </c>
      <c r="I45" s="4">
        <v>272.07499999999999</v>
      </c>
      <c r="J45" s="4">
        <v>149.506</v>
      </c>
      <c r="K45" s="5">
        <v>24685.09375</v>
      </c>
      <c r="L45" s="5">
        <v>22216.583984000001</v>
      </c>
      <c r="M45" s="2">
        <v>0</v>
      </c>
      <c r="N45" s="6">
        <v>3.154E-5</v>
      </c>
      <c r="O45" s="9">
        <v>3.5339999999999999E-10</v>
      </c>
      <c r="Q45" s="40">
        <f t="shared" si="4"/>
        <v>0.95968685323495007</v>
      </c>
      <c r="R45" s="41">
        <f t="shared" si="5"/>
        <v>0.61933475932358928</v>
      </c>
      <c r="S45" s="41">
        <f t="shared" si="6"/>
        <v>0.44967050550561088</v>
      </c>
      <c r="U45" s="46">
        <f t="shared" si="7"/>
        <v>0.69530754597336708</v>
      </c>
      <c r="V45" s="46">
        <f t="shared" si="7"/>
        <v>13109.790605546124</v>
      </c>
    </row>
    <row r="46" spans="1:22" ht="14.7" thickBot="1" x14ac:dyDescent="0.6">
      <c r="A46" s="27" t="s">
        <v>17</v>
      </c>
      <c r="B46" s="28">
        <v>1E-4</v>
      </c>
      <c r="C46" s="29">
        <v>2</v>
      </c>
      <c r="D46" s="30">
        <v>7.1760000000000002</v>
      </c>
      <c r="E46" s="30">
        <v>707.24300000000005</v>
      </c>
      <c r="F46" s="30">
        <v>425.55799999999999</v>
      </c>
      <c r="G46" s="30">
        <v>265.68900000000002</v>
      </c>
      <c r="H46" s="30">
        <v>326.05</v>
      </c>
      <c r="I46" s="30">
        <v>271.08999999999997</v>
      </c>
      <c r="J46" s="30">
        <v>148.02000000000001</v>
      </c>
      <c r="K46" s="31">
        <v>8228.3642579999996</v>
      </c>
      <c r="L46" s="31">
        <v>7405.5278319999998</v>
      </c>
      <c r="M46" s="29">
        <v>0</v>
      </c>
      <c r="N46" s="32">
        <v>8.3149999999999999E-4</v>
      </c>
      <c r="O46" s="33">
        <v>4.56E-9</v>
      </c>
      <c r="Q46" s="42">
        <f t="shared" si="4"/>
        <v>0.96672504378283719</v>
      </c>
      <c r="R46" s="43">
        <f t="shared" si="5"/>
        <v>0.62635761620628938</v>
      </c>
      <c r="S46" s="43">
        <f t="shared" si="6"/>
        <v>0.45363579806127546</v>
      </c>
      <c r="U46" s="47">
        <f t="shared" si="7"/>
        <v>1.1625977149729405</v>
      </c>
      <c r="V46" s="47">
        <f t="shared" si="7"/>
        <v>88.048245614035082</v>
      </c>
    </row>
    <row r="47" spans="1:22" x14ac:dyDescent="0.55000000000000004">
      <c r="A47" s="7" t="s">
        <v>15</v>
      </c>
      <c r="B47" s="34">
        <v>0.01</v>
      </c>
      <c r="C47" s="35">
        <v>3</v>
      </c>
      <c r="D47" s="36">
        <v>56.253999999999998</v>
      </c>
      <c r="E47" s="36">
        <v>550.81899999999996</v>
      </c>
      <c r="F47" s="36">
        <v>449.71199999999999</v>
      </c>
      <c r="G47" s="36">
        <v>247.578</v>
      </c>
      <c r="H47" s="36">
        <v>347.29599999999999</v>
      </c>
      <c r="I47" s="36">
        <v>235.465</v>
      </c>
      <c r="J47" s="36">
        <v>140.32499999999999</v>
      </c>
      <c r="K47" s="37">
        <v>0.99603399999999997</v>
      </c>
      <c r="L47" s="37">
        <v>0.89643099999999998</v>
      </c>
      <c r="M47" s="35">
        <v>0</v>
      </c>
      <c r="N47" s="38">
        <v>1.19E-10</v>
      </c>
      <c r="O47" s="39">
        <v>1.628E-10</v>
      </c>
      <c r="Q47" s="40">
        <f>D47/D2</f>
        <v>0.94114301010506596</v>
      </c>
      <c r="R47" s="41">
        <f>G47/F2</f>
        <v>0.55148955507143715</v>
      </c>
      <c r="S47" s="41">
        <f>J47/H2</f>
        <v>0.4034112797042369</v>
      </c>
      <c r="U47" s="46">
        <f>N2/N47</f>
        <v>5868067.2268907558</v>
      </c>
      <c r="V47" s="46">
        <f>O2/O47</f>
        <v>860565.11056511058</v>
      </c>
    </row>
    <row r="48" spans="1:22" x14ac:dyDescent="0.55000000000000004">
      <c r="A48" s="8" t="s">
        <v>15</v>
      </c>
      <c r="B48" s="3">
        <v>3.0000000000000001E-3</v>
      </c>
      <c r="C48" s="2">
        <v>3</v>
      </c>
      <c r="D48" s="4">
        <v>32.686999999999998</v>
      </c>
      <c r="E48" s="4">
        <v>554.12300000000005</v>
      </c>
      <c r="F48" s="4">
        <v>445.40300000000002</v>
      </c>
      <c r="G48" s="4">
        <v>246.92500000000001</v>
      </c>
      <c r="H48" s="4">
        <v>343.13099999999997</v>
      </c>
      <c r="I48" s="4">
        <v>236.31299999999999</v>
      </c>
      <c r="J48" s="4">
        <v>139.93799999999999</v>
      </c>
      <c r="K48" s="5">
        <v>0.29881000000000002</v>
      </c>
      <c r="L48" s="5">
        <v>0.26892899999999997</v>
      </c>
      <c r="M48" s="2">
        <v>0</v>
      </c>
      <c r="N48" s="6">
        <v>3.6910000000000002E-9</v>
      </c>
      <c r="O48" s="9">
        <v>7.6380000000000003E-9</v>
      </c>
      <c r="Q48" s="40">
        <f t="shared" ref="Q48:Q61" si="8">D48/D3</f>
        <v>0.96308190925162052</v>
      </c>
      <c r="R48" s="41">
        <f t="shared" ref="R48:R61" si="9">G48/F3</f>
        <v>0.5567894831784973</v>
      </c>
      <c r="S48" s="41">
        <f t="shared" ref="S48:S61" si="10">J48/H3</f>
        <v>0.40782674838472771</v>
      </c>
      <c r="U48" s="46">
        <f t="shared" ref="U48:V61" si="11">N3/N48</f>
        <v>28772.690327824439</v>
      </c>
      <c r="V48" s="46">
        <f t="shared" si="11"/>
        <v>1599.8952605394081</v>
      </c>
    </row>
    <row r="49" spans="1:22" x14ac:dyDescent="0.55000000000000004">
      <c r="A49" s="8" t="s">
        <v>15</v>
      </c>
      <c r="B49" s="3">
        <v>1E-3</v>
      </c>
      <c r="C49" s="2">
        <v>3</v>
      </c>
      <c r="D49" s="4">
        <v>22.097999999999999</v>
      </c>
      <c r="E49" s="4">
        <v>554.26900000000001</v>
      </c>
      <c r="F49" s="4">
        <v>439.53800000000001</v>
      </c>
      <c r="G49" s="4">
        <v>245.14</v>
      </c>
      <c r="H49" s="4">
        <v>340.32</v>
      </c>
      <c r="I49" s="4">
        <v>235.12899999999999</v>
      </c>
      <c r="J49" s="4">
        <v>139.05500000000001</v>
      </c>
      <c r="K49" s="5">
        <v>9.9602999999999997E-2</v>
      </c>
      <c r="L49" s="5">
        <v>8.9643E-2</v>
      </c>
      <c r="M49" s="2">
        <v>0</v>
      </c>
      <c r="N49" s="6">
        <v>7.1379999999999995E-10</v>
      </c>
      <c r="O49" s="9">
        <v>4.1819999999999998E-9</v>
      </c>
      <c r="Q49" s="40">
        <f t="shared" si="8"/>
        <v>0.95439232961907228</v>
      </c>
      <c r="R49" s="41">
        <f t="shared" si="9"/>
        <v>0.55610504155929008</v>
      </c>
      <c r="S49" s="41">
        <f t="shared" si="10"/>
        <v>0.40863434932352222</v>
      </c>
      <c r="U49" s="46">
        <f t="shared" si="11"/>
        <v>23213.785374054358</v>
      </c>
      <c r="V49" s="46">
        <f t="shared" si="11"/>
        <v>383.07030129124826</v>
      </c>
    </row>
    <row r="50" spans="1:22" x14ac:dyDescent="0.55000000000000004">
      <c r="A50" s="8" t="s">
        <v>15</v>
      </c>
      <c r="B50" s="3">
        <v>2.9999999999999997E-4</v>
      </c>
      <c r="C50" s="2">
        <v>3</v>
      </c>
      <c r="D50" s="4">
        <v>14.1</v>
      </c>
      <c r="E50" s="4">
        <v>551.81399999999996</v>
      </c>
      <c r="F50" s="4">
        <v>432.541</v>
      </c>
      <c r="G50" s="4">
        <v>242.476</v>
      </c>
      <c r="H50" s="4">
        <v>337.673</v>
      </c>
      <c r="I50" s="4">
        <v>236.39500000000001</v>
      </c>
      <c r="J50" s="4">
        <v>139.05000000000001</v>
      </c>
      <c r="K50" s="5">
        <v>2.9881000000000001E-2</v>
      </c>
      <c r="L50" s="5">
        <v>2.6893E-2</v>
      </c>
      <c r="M50" s="2">
        <v>0</v>
      </c>
      <c r="N50" s="6">
        <v>1.1559999999999999E-10</v>
      </c>
      <c r="O50" s="9">
        <v>2.9890000000000002E-10</v>
      </c>
      <c r="Q50" s="40">
        <f t="shared" si="8"/>
        <v>0.94510355921978684</v>
      </c>
      <c r="R50" s="41">
        <f t="shared" si="9"/>
        <v>0.55588772019917643</v>
      </c>
      <c r="S50" s="41">
        <f t="shared" si="10"/>
        <v>0.41157683803615253</v>
      </c>
      <c r="U50" s="46">
        <f t="shared" si="11"/>
        <v>14602.076124567475</v>
      </c>
      <c r="V50" s="46">
        <f t="shared" si="11"/>
        <v>432.25158916025418</v>
      </c>
    </row>
    <row r="51" spans="1:22" x14ac:dyDescent="0.55000000000000004">
      <c r="A51" s="8" t="s">
        <v>15</v>
      </c>
      <c r="B51" s="3">
        <v>1E-4</v>
      </c>
      <c r="C51" s="2">
        <v>3</v>
      </c>
      <c r="D51" s="4">
        <v>9.41</v>
      </c>
      <c r="E51" s="4">
        <v>550.70299999999997</v>
      </c>
      <c r="F51" s="4">
        <v>422.32299999999998</v>
      </c>
      <c r="G51" s="4">
        <v>239.02199999999999</v>
      </c>
      <c r="H51" s="4">
        <v>331.21499999999997</v>
      </c>
      <c r="I51" s="4">
        <v>236.55500000000001</v>
      </c>
      <c r="J51" s="4">
        <v>137.99700000000001</v>
      </c>
      <c r="K51" s="5">
        <v>9.9600000000000001E-3</v>
      </c>
      <c r="L51" s="5">
        <v>8.9639999999999997E-3</v>
      </c>
      <c r="M51" s="2">
        <v>0</v>
      </c>
      <c r="N51" s="6">
        <v>3.6869999999999998E-10</v>
      </c>
      <c r="O51" s="9">
        <v>8.1929999999999995E-10</v>
      </c>
      <c r="Q51" s="40">
        <f t="shared" si="8"/>
        <v>0.93242172017439551</v>
      </c>
      <c r="R51" s="41">
        <f t="shared" si="9"/>
        <v>0.5611227055362924</v>
      </c>
      <c r="S51" s="41">
        <f t="shared" si="10"/>
        <v>0.4147516545344162</v>
      </c>
      <c r="U51" s="46">
        <f t="shared" si="11"/>
        <v>5565.5004068348253</v>
      </c>
      <c r="V51" s="46">
        <f t="shared" si="11"/>
        <v>86.183327230562668</v>
      </c>
    </row>
    <row r="52" spans="1:22" x14ac:dyDescent="0.55000000000000004">
      <c r="A52" s="8" t="s">
        <v>16</v>
      </c>
      <c r="B52" s="3">
        <v>0.01</v>
      </c>
      <c r="C52" s="2">
        <v>3</v>
      </c>
      <c r="D52" s="4">
        <v>50.95</v>
      </c>
      <c r="E52" s="4">
        <v>463.78699999999998</v>
      </c>
      <c r="F52" s="4">
        <v>406.58300000000003</v>
      </c>
      <c r="G52" s="4">
        <v>216.65299999999999</v>
      </c>
      <c r="H52" s="4">
        <v>319.26799999999997</v>
      </c>
      <c r="I52" s="4">
        <v>226.05600000000001</v>
      </c>
      <c r="J52" s="4">
        <v>132.34800000000001</v>
      </c>
      <c r="K52" s="5">
        <v>1.062011</v>
      </c>
      <c r="L52" s="5">
        <v>0.95581000000000005</v>
      </c>
      <c r="M52" s="2">
        <v>0</v>
      </c>
      <c r="N52" s="6">
        <v>1.8180000000000001E-8</v>
      </c>
      <c r="O52" s="9">
        <v>3.5759999999999997E-8</v>
      </c>
      <c r="Q52" s="40">
        <f t="shared" si="8"/>
        <v>0.93093367440160801</v>
      </c>
      <c r="R52" s="41">
        <f t="shared" si="9"/>
        <v>0.53660584474931083</v>
      </c>
      <c r="S52" s="41">
        <f t="shared" si="10"/>
        <v>0.41470461054465474</v>
      </c>
      <c r="U52" s="46">
        <f t="shared" si="11"/>
        <v>1488.4488448844882</v>
      </c>
      <c r="V52" s="46">
        <f t="shared" si="11"/>
        <v>3425.6152125279646</v>
      </c>
    </row>
    <row r="53" spans="1:22" x14ac:dyDescent="0.55000000000000004">
      <c r="A53" s="8" t="s">
        <v>16</v>
      </c>
      <c r="B53" s="3">
        <v>3.0000000000000001E-3</v>
      </c>
      <c r="C53" s="2">
        <v>3</v>
      </c>
      <c r="D53" s="4">
        <v>24.594000000000001</v>
      </c>
      <c r="E53" s="4">
        <v>455.73899999999998</v>
      </c>
      <c r="F53" s="4">
        <v>404.58300000000003</v>
      </c>
      <c r="G53" s="4">
        <v>214.32</v>
      </c>
      <c r="H53" s="4">
        <v>319.13799999999998</v>
      </c>
      <c r="I53" s="4">
        <v>226.58099999999999</v>
      </c>
      <c r="J53" s="4">
        <v>132.505</v>
      </c>
      <c r="K53" s="5">
        <v>0.31860300000000003</v>
      </c>
      <c r="L53" s="5">
        <v>0.28674300000000003</v>
      </c>
      <c r="M53" s="2">
        <v>0</v>
      </c>
      <c r="N53" s="6">
        <v>8.02E-9</v>
      </c>
      <c r="O53" s="9">
        <v>1.7039999999999999E-8</v>
      </c>
      <c r="Q53" s="40">
        <f t="shared" si="8"/>
        <v>0.94588669666551284</v>
      </c>
      <c r="R53" s="41">
        <f t="shared" si="9"/>
        <v>0.5354907540895133</v>
      </c>
      <c r="S53" s="41">
        <f t="shared" si="10"/>
        <v>0.4176977369517727</v>
      </c>
      <c r="U53" s="46">
        <f t="shared" si="11"/>
        <v>1716.9576059850374</v>
      </c>
      <c r="V53" s="46">
        <f t="shared" si="11"/>
        <v>392.95774647887328</v>
      </c>
    </row>
    <row r="54" spans="1:22" x14ac:dyDescent="0.55000000000000004">
      <c r="A54" s="8" t="s">
        <v>16</v>
      </c>
      <c r="B54" s="3">
        <v>1E-3</v>
      </c>
      <c r="C54" s="2">
        <v>3</v>
      </c>
      <c r="D54" s="4">
        <v>14.981999999999999</v>
      </c>
      <c r="E54" s="4">
        <v>466.209</v>
      </c>
      <c r="F54" s="4">
        <v>403.43400000000003</v>
      </c>
      <c r="G54" s="4">
        <v>216.27799999999999</v>
      </c>
      <c r="H54" s="4">
        <v>316.80900000000003</v>
      </c>
      <c r="I54" s="4">
        <v>226.58099999999999</v>
      </c>
      <c r="J54" s="4">
        <v>132.102</v>
      </c>
      <c r="K54" s="5">
        <v>0.106201</v>
      </c>
      <c r="L54" s="5">
        <v>9.5580999999999999E-2</v>
      </c>
      <c r="M54" s="2">
        <v>0</v>
      </c>
      <c r="N54" s="6">
        <v>2.3279999999999998E-9</v>
      </c>
      <c r="O54" s="9">
        <v>4.8179999999999997E-9</v>
      </c>
      <c r="Q54" s="40">
        <f t="shared" si="8"/>
        <v>0.96137063655030797</v>
      </c>
      <c r="R54" s="41">
        <f t="shared" si="9"/>
        <v>0.54038292885858419</v>
      </c>
      <c r="S54" s="41">
        <f t="shared" si="10"/>
        <v>0.4168083877868472</v>
      </c>
      <c r="U54" s="46">
        <f t="shared" si="11"/>
        <v>112.45704467353951</v>
      </c>
      <c r="V54" s="46">
        <f t="shared" si="11"/>
        <v>588.21087588210878</v>
      </c>
    </row>
    <row r="55" spans="1:22" x14ac:dyDescent="0.55000000000000004">
      <c r="A55" s="8" t="s">
        <v>16</v>
      </c>
      <c r="B55" s="3">
        <v>2.9999999999999997E-4</v>
      </c>
      <c r="C55" s="2">
        <v>3</v>
      </c>
      <c r="D55" s="4">
        <v>9.9450000000000003</v>
      </c>
      <c r="E55" s="4">
        <v>470.774</v>
      </c>
      <c r="F55" s="4">
        <v>396.27199999999999</v>
      </c>
      <c r="G55" s="4">
        <v>215.161</v>
      </c>
      <c r="H55" s="4">
        <v>316.04000000000002</v>
      </c>
      <c r="I55" s="4">
        <v>227.108</v>
      </c>
      <c r="J55" s="4">
        <v>132.14599999999999</v>
      </c>
      <c r="K55" s="5">
        <v>3.1859999999999999E-2</v>
      </c>
      <c r="L55" s="5">
        <v>2.8674000000000002E-2</v>
      </c>
      <c r="M55" s="2">
        <v>0</v>
      </c>
      <c r="N55" s="6">
        <v>5.539E-9</v>
      </c>
      <c r="O55" s="9">
        <v>1.1690000000000001E-8</v>
      </c>
      <c r="Q55" s="40">
        <f t="shared" si="8"/>
        <v>0.97195074276778748</v>
      </c>
      <c r="R55" s="41">
        <f t="shared" si="9"/>
        <v>0.54860859676588625</v>
      </c>
      <c r="S55" s="41">
        <f t="shared" si="10"/>
        <v>0.41978030355974305</v>
      </c>
      <c r="U55" s="46">
        <f t="shared" si="11"/>
        <v>5.7591623036649215</v>
      </c>
      <c r="V55" s="46">
        <f t="shared" si="11"/>
        <v>15.680068434559452</v>
      </c>
    </row>
    <row r="56" spans="1:22" x14ac:dyDescent="0.55000000000000004">
      <c r="A56" s="8" t="s">
        <v>16</v>
      </c>
      <c r="B56" s="3">
        <v>1E-4</v>
      </c>
      <c r="C56" s="2">
        <v>3</v>
      </c>
      <c r="D56" s="4">
        <v>6.74</v>
      </c>
      <c r="E56" s="4">
        <v>462.34699999999998</v>
      </c>
      <c r="F56" s="4">
        <v>386.041</v>
      </c>
      <c r="G56" s="4">
        <v>210.381</v>
      </c>
      <c r="H56" s="4">
        <v>311.22399999999999</v>
      </c>
      <c r="I56" s="4">
        <v>226.58099999999999</v>
      </c>
      <c r="J56" s="4">
        <v>131.12100000000001</v>
      </c>
      <c r="K56" s="5">
        <v>1.0619999999999999E-2</v>
      </c>
      <c r="L56" s="5">
        <v>9.5580000000000005E-3</v>
      </c>
      <c r="M56" s="2">
        <v>0</v>
      </c>
      <c r="N56" s="6">
        <v>2.5959999999999999E-8</v>
      </c>
      <c r="O56" s="9">
        <v>5.292E-8</v>
      </c>
      <c r="Q56" s="40">
        <f t="shared" si="8"/>
        <v>0.96797357460864575</v>
      </c>
      <c r="R56" s="41">
        <f t="shared" si="9"/>
        <v>0.53877673319179775</v>
      </c>
      <c r="S56" s="41">
        <f t="shared" si="10"/>
        <v>0.42025826840298597</v>
      </c>
      <c r="U56" s="46">
        <f t="shared" si="11"/>
        <v>1.8170261941448382</v>
      </c>
      <c r="V56" s="46">
        <f t="shared" si="11"/>
        <v>1.0130385487528344</v>
      </c>
    </row>
    <row r="57" spans="1:22" x14ac:dyDescent="0.55000000000000004">
      <c r="A57" s="8" t="s">
        <v>17</v>
      </c>
      <c r="B57" s="3">
        <v>0.01</v>
      </c>
      <c r="C57" s="2">
        <v>3</v>
      </c>
      <c r="D57" s="4">
        <v>47.325000000000003</v>
      </c>
      <c r="E57" s="4">
        <v>548.97500000000002</v>
      </c>
      <c r="F57" s="4">
        <v>436.80399999999997</v>
      </c>
      <c r="G57" s="4">
        <v>243.25399999999999</v>
      </c>
      <c r="H57" s="4">
        <v>332.67</v>
      </c>
      <c r="I57" s="4">
        <v>235.107</v>
      </c>
      <c r="J57" s="4">
        <v>137.75299999999999</v>
      </c>
      <c r="K57" s="5">
        <v>822836.375</v>
      </c>
      <c r="L57" s="5">
        <v>740552.6875</v>
      </c>
      <c r="M57" s="2">
        <v>1</v>
      </c>
      <c r="N57" s="6">
        <v>9.3839999999999996E-5</v>
      </c>
      <c r="O57" s="9">
        <v>4.7120000000000003E-9</v>
      </c>
      <c r="Q57" s="40">
        <f t="shared" si="8"/>
        <v>0.94301085981867094</v>
      </c>
      <c r="R57" s="41">
        <f t="shared" si="9"/>
        <v>0.55583635715526136</v>
      </c>
      <c r="S57" s="41">
        <f t="shared" si="10"/>
        <v>0.41303141968775203</v>
      </c>
      <c r="U57" s="46">
        <f t="shared" si="11"/>
        <v>30871.696504688833</v>
      </c>
      <c r="V57" s="46">
        <f t="shared" si="11"/>
        <v>1158106.9609507639</v>
      </c>
    </row>
    <row r="58" spans="1:22" x14ac:dyDescent="0.55000000000000004">
      <c r="A58" s="8" t="s">
        <v>17</v>
      </c>
      <c r="B58" s="3">
        <v>3.0000000000000001E-3</v>
      </c>
      <c r="C58" s="2">
        <v>3</v>
      </c>
      <c r="D58" s="4">
        <v>25.004000000000001</v>
      </c>
      <c r="E58" s="4">
        <v>549.96400000000006</v>
      </c>
      <c r="F58" s="4">
        <v>437.49900000000002</v>
      </c>
      <c r="G58" s="4">
        <v>243.66399999999999</v>
      </c>
      <c r="H58" s="4">
        <v>332.68299999999999</v>
      </c>
      <c r="I58" s="4">
        <v>237.006</v>
      </c>
      <c r="J58" s="4">
        <v>138.405</v>
      </c>
      <c r="K58" s="5">
        <v>246850.921875</v>
      </c>
      <c r="L58" s="5">
        <v>222165.828125</v>
      </c>
      <c r="M58" s="2">
        <v>0</v>
      </c>
      <c r="N58" s="6">
        <v>1.0139999999999999E-7</v>
      </c>
      <c r="O58" s="9">
        <v>5.0689999999999998E-9</v>
      </c>
      <c r="Q58" s="40">
        <f t="shared" si="8"/>
        <v>0.95130117181555329</v>
      </c>
      <c r="R58" s="41">
        <f t="shared" si="9"/>
        <v>0.55956183761812361</v>
      </c>
      <c r="S58" s="41">
        <f t="shared" si="10"/>
        <v>0.41599290673559558</v>
      </c>
      <c r="U58" s="46">
        <f t="shared" si="11"/>
        <v>2310650.8875739649</v>
      </c>
      <c r="V58" s="46">
        <f t="shared" si="11"/>
        <v>98816.334582757947</v>
      </c>
    </row>
    <row r="59" spans="1:22" x14ac:dyDescent="0.55000000000000004">
      <c r="A59" s="8" t="s">
        <v>17</v>
      </c>
      <c r="B59" s="3">
        <v>1E-3</v>
      </c>
      <c r="C59" s="2">
        <v>3</v>
      </c>
      <c r="D59" s="4">
        <v>16.466000000000001</v>
      </c>
      <c r="E59" s="4">
        <v>548.20299999999997</v>
      </c>
      <c r="F59" s="4">
        <v>433.90100000000001</v>
      </c>
      <c r="G59" s="4">
        <v>242.2</v>
      </c>
      <c r="H59" s="4">
        <v>332.88099999999997</v>
      </c>
      <c r="I59" s="4">
        <v>237.13399999999999</v>
      </c>
      <c r="J59" s="4">
        <v>138.483</v>
      </c>
      <c r="K59" s="5">
        <v>82283.640625</v>
      </c>
      <c r="L59" s="5">
        <v>74055.273438000004</v>
      </c>
      <c r="M59" s="2">
        <v>0</v>
      </c>
      <c r="N59" s="6">
        <v>8.6449999999999994E-6</v>
      </c>
      <c r="O59" s="9">
        <v>1.61E-9</v>
      </c>
      <c r="Q59" s="40">
        <f t="shared" si="8"/>
        <v>0.96563452967393859</v>
      </c>
      <c r="R59" s="41">
        <f t="shared" si="9"/>
        <v>0.55712356779908589</v>
      </c>
      <c r="S59" s="41">
        <f t="shared" si="10"/>
        <v>0.41572379342745558</v>
      </c>
      <c r="U59" s="46">
        <f t="shared" si="11"/>
        <v>2911.5095430884908</v>
      </c>
      <c r="V59" s="46">
        <f t="shared" si="11"/>
        <v>32944.099378881991</v>
      </c>
    </row>
    <row r="60" spans="1:22" x14ac:dyDescent="0.55000000000000004">
      <c r="A60" s="8" t="s">
        <v>17</v>
      </c>
      <c r="B60" s="3">
        <v>2.9999999999999997E-4</v>
      </c>
      <c r="C60" s="2">
        <v>3</v>
      </c>
      <c r="D60" s="4">
        <v>10.664999999999999</v>
      </c>
      <c r="E60" s="4">
        <v>548.18499999999995</v>
      </c>
      <c r="F60" s="4">
        <v>431.46800000000002</v>
      </c>
      <c r="G60" s="4">
        <v>241.43700000000001</v>
      </c>
      <c r="H60" s="4">
        <v>332.459</v>
      </c>
      <c r="I60" s="4">
        <v>237.251</v>
      </c>
      <c r="J60" s="4">
        <v>138.44999999999999</v>
      </c>
      <c r="K60" s="5">
        <v>24685.09375</v>
      </c>
      <c r="L60" s="5">
        <v>22216.583984000001</v>
      </c>
      <c r="M60" s="2">
        <v>0</v>
      </c>
      <c r="N60" s="6">
        <v>2.3350000000000001E-6</v>
      </c>
      <c r="O60" s="9">
        <v>2.8879999999999997E-10</v>
      </c>
      <c r="Q60" s="40">
        <f t="shared" si="8"/>
        <v>0.95968685323495007</v>
      </c>
      <c r="R60" s="41">
        <f t="shared" si="9"/>
        <v>0.55951269139052595</v>
      </c>
      <c r="S60" s="41">
        <f t="shared" si="10"/>
        <v>0.41641727748218682</v>
      </c>
      <c r="U60" s="46">
        <f t="shared" si="11"/>
        <v>9.3918629550321189</v>
      </c>
      <c r="V60" s="46">
        <f t="shared" si="11"/>
        <v>16042.243767313023</v>
      </c>
    </row>
    <row r="61" spans="1:22" ht="14.7" thickBot="1" x14ac:dyDescent="0.6">
      <c r="A61" s="10" t="s">
        <v>17</v>
      </c>
      <c r="B61" s="11">
        <v>1E-4</v>
      </c>
      <c r="C61" s="12">
        <v>3</v>
      </c>
      <c r="D61" s="13">
        <v>7.1760000000000002</v>
      </c>
      <c r="E61" s="13">
        <v>543.25099999999998</v>
      </c>
      <c r="F61" s="13">
        <v>424.471</v>
      </c>
      <c r="G61" s="13">
        <v>238.286</v>
      </c>
      <c r="H61" s="13">
        <v>325.84699999999998</v>
      </c>
      <c r="I61" s="13">
        <v>236.71199999999999</v>
      </c>
      <c r="J61" s="13">
        <v>137.10900000000001</v>
      </c>
      <c r="K61" s="14">
        <v>8228.3642579999996</v>
      </c>
      <c r="L61" s="14">
        <v>7405.5278319999998</v>
      </c>
      <c r="M61" s="12">
        <v>0</v>
      </c>
      <c r="N61" s="15">
        <v>1.312E-5</v>
      </c>
      <c r="O61" s="16">
        <v>8.7320000000000002E-11</v>
      </c>
      <c r="Q61" s="40">
        <f t="shared" si="8"/>
        <v>0.96672504378283719</v>
      </c>
      <c r="R61" s="41">
        <f t="shared" si="9"/>
        <v>0.56175547702513784</v>
      </c>
      <c r="S61" s="41">
        <f t="shared" si="10"/>
        <v>0.42019693714621953</v>
      </c>
      <c r="U61" s="46">
        <f t="shared" si="11"/>
        <v>73.681402439024396</v>
      </c>
      <c r="V61" s="46">
        <f t="shared" si="11"/>
        <v>4598.0302336234536</v>
      </c>
    </row>
    <row r="63" spans="1:22" x14ac:dyDescent="0.55000000000000004">
      <c r="Q63" s="44">
        <f>AVERAGE(Q47:Q61)</f>
        <v>0.95337442077931689</v>
      </c>
      <c r="R63" s="45">
        <f t="shared" ref="R63:S63" si="12">AVERAGE(R47:R61)</f>
        <v>0.5516699529458613</v>
      </c>
      <c r="S63" s="45">
        <f t="shared" si="12"/>
        <v>0.41445416744721797</v>
      </c>
      <c r="U63" s="46">
        <f>AVERAGE(U47:U61)</f>
        <v>552537.59237968095</v>
      </c>
      <c r="V63" s="46">
        <f>AVERAGE(V47:V61)</f>
        <v>145199.8437932363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cPFPLresults.4090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Burtscher, Martin</cp:lastModifiedBy>
  <dcterms:created xsi:type="dcterms:W3CDTF">2026-10-27T01:20:51Z</dcterms:created>
  <dcterms:modified xsi:type="dcterms:W3CDTF">2026-10-27T01:45:18Z</dcterms:modified>
</cp:coreProperties>
</file>