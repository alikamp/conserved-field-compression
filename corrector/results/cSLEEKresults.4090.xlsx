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conserved-field-compression\corrector\cSLEEK\"/>
    </mc:Choice>
  </mc:AlternateContent>
  <xr:revisionPtr revIDLastSave="0" documentId="13_ncr:1_{4F941A5B-A36A-4DBC-AD34-2E503642D6A5}" xr6:coauthVersionLast="47" xr6:coauthVersionMax="47" xr10:uidLastSave="{00000000-0000-0000-0000-000000000000}"/>
  <bookViews>
    <workbookView xWindow="-96" yWindow="-96" windowWidth="23232" windowHeight="12432" xr2:uid="{AA94C96F-F49F-421A-86F0-E6289012DE23}"/>
  </bookViews>
  <sheets>
    <sheet name="cSLEEKresults.40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3" i="1" l="1"/>
  <c r="U63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V47" i="1"/>
  <c r="U47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V32" i="1"/>
  <c r="U32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V17" i="1"/>
  <c r="U17" i="1"/>
  <c r="S63" i="1"/>
  <c r="R63" i="1"/>
  <c r="Q63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S47" i="1"/>
  <c r="R47" i="1"/>
  <c r="Q47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S32" i="1"/>
  <c r="R32" i="1"/>
  <c r="Q32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S17" i="1"/>
  <c r="R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7" i="1"/>
</calcChain>
</file>

<file path=xl/sharedStrings.xml><?xml version="1.0" encoding="utf-8"?>
<sst xmlns="http://schemas.openxmlformats.org/spreadsheetml/2006/main" count="80" uniqueCount="23">
  <si>
    <t>input</t>
  </si>
  <si>
    <t>error_bound</t>
  </si>
  <si>
    <t>mode</t>
  </si>
  <si>
    <t>compression_ratio</t>
  </si>
  <si>
    <t>preprocessing_GBps</t>
  </si>
  <si>
    <t>compression_GBps</t>
  </si>
  <si>
    <t>encoding_GBps</t>
  </si>
  <si>
    <t>decompression_GBps</t>
  </si>
  <si>
    <t>postprocessing_GBps</t>
  </si>
  <si>
    <t>decoding_GBps</t>
  </si>
  <si>
    <t>abs_eb</t>
  </si>
  <si>
    <t>used_eb</t>
  </si>
  <si>
    <t>eb_violations</t>
  </si>
  <si>
    <t>mass_i</t>
  </si>
  <si>
    <t>energy_i</t>
  </si>
  <si>
    <t>CESM/SDRBENCH-CESM-ATM-26x1800x3600/RELHUM_1_26_1800_3600.f32</t>
  </si>
  <si>
    <t>ISABEL/100x500x500/TCf48.bin.f32</t>
  </si>
  <si>
    <t>NYX/SDRBENCH-EXASKY-NYX-512x512x512/velocity_x.f32</t>
  </si>
  <si>
    <t>CR</t>
  </si>
  <si>
    <t>CTHRU</t>
  </si>
  <si>
    <t>DTHRU</t>
  </si>
  <si>
    <t>MASS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</si>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</sst>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000"/>
    <numFmt numFmtId="167" formatCode="0.0%"/>
    <numFmt numFmtId="170" formatCode="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  <xf numFmtId="165" fontId="0" fillId="0" borderId="10" xfId="0" applyNumberFormat="1" applyBorder="1"/>
    <xf numFmtId="164" fontId="0" fillId="0" borderId="10" xfId="0" applyNumberFormat="1" applyBorder="1"/>
    <xf numFmtId="11" fontId="0" fillId="0" borderId="10" xfId="0" applyNumberFormat="1" applyBorder="1"/>
    <xf numFmtId="165" fontId="14" fillId="0" borderId="10" xfId="0" applyNumberFormat="1" applyFont="1" applyBorder="1"/>
    <xf numFmtId="11" fontId="0" fillId="0" borderId="15" xfId="0" applyNumberFormat="1" applyBorder="1"/>
    <xf numFmtId="0" fontId="0" fillId="0" borderId="17" xfId="0" applyBorder="1"/>
    <xf numFmtId="165" fontId="0" fillId="0" borderId="17" xfId="0" applyNumberFormat="1" applyBorder="1"/>
    <xf numFmtId="164" fontId="0" fillId="0" borderId="17" xfId="0" applyNumberFormat="1" applyBorder="1"/>
    <xf numFmtId="11" fontId="0" fillId="0" borderId="17" xfId="0" applyNumberFormat="1" applyBorder="1"/>
    <xf numFmtId="11" fontId="0" fillId="0" borderId="18" xfId="0" applyNumberFormat="1" applyBorder="1"/>
    <xf numFmtId="166" fontId="0" fillId="0" borderId="20" xfId="0" applyNumberFormat="1" applyBorder="1"/>
    <xf numFmtId="166" fontId="0" fillId="0" borderId="21" xfId="0" applyNumberFormat="1" applyBorder="1"/>
    <xf numFmtId="0" fontId="0" fillId="0" borderId="22" xfId="0" applyBorder="1"/>
    <xf numFmtId="166" fontId="0" fillId="0" borderId="23" xfId="0" applyNumberFormat="1" applyBorder="1"/>
    <xf numFmtId="165" fontId="0" fillId="0" borderId="22" xfId="0" applyNumberFormat="1" applyBorder="1"/>
    <xf numFmtId="164" fontId="0" fillId="0" borderId="22" xfId="0" applyNumberFormat="1" applyBorder="1"/>
    <xf numFmtId="11" fontId="0" fillId="0" borderId="22" xfId="0" applyNumberFormat="1" applyBorder="1"/>
    <xf numFmtId="11" fontId="0" fillId="0" borderId="24" xfId="0" applyNumberFormat="1" applyBorder="1"/>
    <xf numFmtId="0" fontId="0" fillId="0" borderId="25" xfId="0" applyBorder="1"/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29" xfId="0" applyBorder="1"/>
    <xf numFmtId="0" fontId="0" fillId="0" borderId="14" xfId="0" applyBorder="1"/>
    <xf numFmtId="0" fontId="0" fillId="0" borderId="16" xfId="0" applyBorder="1"/>
    <xf numFmtId="0" fontId="0" fillId="0" borderId="30" xfId="0" applyBorder="1"/>
    <xf numFmtId="166" fontId="0" fillId="0" borderId="31" xfId="0" applyNumberFormat="1" applyBorder="1"/>
    <xf numFmtId="0" fontId="0" fillId="0" borderId="32" xfId="0" applyBorder="1"/>
    <xf numFmtId="165" fontId="0" fillId="0" borderId="32" xfId="0" applyNumberFormat="1" applyBorder="1"/>
    <xf numFmtId="164" fontId="0" fillId="0" borderId="32" xfId="0" applyNumberFormat="1" applyBorder="1"/>
    <xf numFmtId="11" fontId="0" fillId="0" borderId="32" xfId="0" applyNumberFormat="1" applyBorder="1"/>
    <xf numFmtId="11" fontId="0" fillId="0" borderId="33" xfId="0" applyNumberFormat="1" applyBorder="1"/>
    <xf numFmtId="0" fontId="0" fillId="0" borderId="11" xfId="0" applyBorder="1"/>
    <xf numFmtId="166" fontId="0" fillId="0" borderId="19" xfId="0" applyNumberFormat="1" applyBorder="1"/>
    <xf numFmtId="0" fontId="0" fillId="0" borderId="12" xfId="0" applyBorder="1"/>
    <xf numFmtId="165" fontId="0" fillId="0" borderId="12" xfId="0" applyNumberFormat="1" applyBorder="1"/>
    <xf numFmtId="164" fontId="0" fillId="0" borderId="12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9" fontId="0" fillId="0" borderId="0" xfId="42" applyFont="1"/>
    <xf numFmtId="167" fontId="0" fillId="0" borderId="0" xfId="42" applyNumberFormat="1" applyFont="1"/>
    <xf numFmtId="9" fontId="0" fillId="0" borderId="34" xfId="42" applyFont="1" applyBorder="1"/>
    <xf numFmtId="167" fontId="0" fillId="0" borderId="34" xfId="42" applyNumberFormat="1" applyFont="1" applyBorder="1"/>
    <xf numFmtId="9" fontId="0" fillId="0" borderId="0" xfId="0" applyNumberFormat="1"/>
    <xf numFmtId="167" fontId="0" fillId="0" borderId="0" xfId="0" applyNumberFormat="1"/>
    <xf numFmtId="0" fontId="0" fillId="0" borderId="0" xfId="0" applyFill="1" applyBorder="1" applyAlignment="1">
      <alignment horizontal="right"/>
    </xf>
    <xf numFmtId="170" fontId="0" fillId="0" borderId="0" xfId="0" applyNumberFormat="1"/>
    <xf numFmtId="170" fontId="0" fillId="0" borderId="34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1D3B-89FC-4FD9-8EB8-E4DA0FBD557B}">
  <dimension ref="A1:V63"/>
  <sheetViews>
    <sheetView tabSelected="1" topLeftCell="H43" workbookViewId="0">
      <selection activeCell="U65" sqref="U65"/>
    </sheetView>
  </sheetViews>
  <sheetFormatPr defaultRowHeight="14.4" x14ac:dyDescent="0.55000000000000004"/>
  <cols>
    <col min="1" max="1" width="61.734375" bestFit="1" customWidth="1"/>
    <col min="2" max="2" width="10.15625" bestFit="1" customWidth="1"/>
    <col min="3" max="3" width="5.15625" bestFit="1" customWidth="1"/>
    <col min="4" max="4" width="15.15625" bestFit="1" customWidth="1"/>
    <col min="5" max="5" width="16.68359375" bestFit="1" customWidth="1"/>
    <col min="6" max="6" width="15.7890625" bestFit="1" customWidth="1"/>
    <col min="7" max="7" width="12.89453125" bestFit="1" customWidth="1"/>
    <col min="8" max="8" width="17.7890625" bestFit="1" customWidth="1"/>
    <col min="9" max="9" width="17.62890625" bestFit="1" customWidth="1"/>
    <col min="10" max="10" width="12.89453125" bestFit="1" customWidth="1"/>
    <col min="11" max="12" width="13.26171875" bestFit="1" customWidth="1"/>
    <col min="13" max="13" width="10.89453125" bestFit="1" customWidth="1"/>
    <col min="14" max="15" width="7.7890625" bestFit="1" customWidth="1"/>
  </cols>
  <sheetData>
    <row r="1" spans="1:22" ht="14.7" thickBot="1" x14ac:dyDescent="0.6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 t="s">
        <v>14</v>
      </c>
    </row>
    <row r="2" spans="1:22" x14ac:dyDescent="0.55000000000000004">
      <c r="A2" s="25" t="s">
        <v>15</v>
      </c>
      <c r="B2" s="16">
        <v>0.01</v>
      </c>
      <c r="C2" s="15">
        <v>0</v>
      </c>
      <c r="D2" s="17">
        <v>5.641</v>
      </c>
      <c r="E2" s="17">
        <v>0</v>
      </c>
      <c r="F2" s="17">
        <v>731.17399999999998</v>
      </c>
      <c r="G2" s="17">
        <v>0</v>
      </c>
      <c r="H2" s="17">
        <v>698.85500000000002</v>
      </c>
      <c r="I2" s="17">
        <v>0</v>
      </c>
      <c r="J2" s="17">
        <v>0</v>
      </c>
      <c r="K2" s="18">
        <v>0.99603399999999997</v>
      </c>
      <c r="L2" s="18">
        <v>0.99603399999999997</v>
      </c>
      <c r="M2" s="15">
        <v>0</v>
      </c>
      <c r="N2" s="19">
        <v>3.7950000000000001E-4</v>
      </c>
      <c r="O2" s="20">
        <v>2.2209999999999999E-5</v>
      </c>
    </row>
    <row r="3" spans="1:22" x14ac:dyDescent="0.55000000000000004">
      <c r="A3" s="26" t="s">
        <v>15</v>
      </c>
      <c r="B3" s="13">
        <v>3.0000000000000001E-3</v>
      </c>
      <c r="C3" s="2">
        <v>0</v>
      </c>
      <c r="D3" s="3">
        <v>4.8840000000000003</v>
      </c>
      <c r="E3" s="3">
        <v>0</v>
      </c>
      <c r="F3" s="3">
        <v>713.80200000000002</v>
      </c>
      <c r="G3" s="3">
        <v>0</v>
      </c>
      <c r="H3" s="3">
        <v>685.61400000000003</v>
      </c>
      <c r="I3" s="3">
        <v>0</v>
      </c>
      <c r="J3" s="3">
        <v>0</v>
      </c>
      <c r="K3" s="4">
        <v>0.29881000000000002</v>
      </c>
      <c r="L3" s="4">
        <v>0.29881000000000002</v>
      </c>
      <c r="M3" s="2">
        <v>0</v>
      </c>
      <c r="N3" s="5">
        <v>1.1900000000000001E-4</v>
      </c>
      <c r="O3" s="7">
        <v>5.1540000000000001E-6</v>
      </c>
    </row>
    <row r="4" spans="1:22" x14ac:dyDescent="0.55000000000000004">
      <c r="A4" s="26" t="s">
        <v>15</v>
      </c>
      <c r="B4" s="13">
        <v>1E-3</v>
      </c>
      <c r="C4" s="2">
        <v>0</v>
      </c>
      <c r="D4" s="3">
        <v>3.823</v>
      </c>
      <c r="E4" s="3">
        <v>0</v>
      </c>
      <c r="F4" s="3">
        <v>684.12199999999996</v>
      </c>
      <c r="G4" s="3">
        <v>0</v>
      </c>
      <c r="H4" s="3">
        <v>660.00199999999995</v>
      </c>
      <c r="I4" s="3">
        <v>0</v>
      </c>
      <c r="J4" s="3">
        <v>0</v>
      </c>
      <c r="K4" s="4">
        <v>9.9602999999999997E-2</v>
      </c>
      <c r="L4" s="4">
        <v>9.9602999999999997E-2</v>
      </c>
      <c r="M4" s="2">
        <v>0</v>
      </c>
      <c r="N4" s="5">
        <v>2.7589999999999998E-5</v>
      </c>
      <c r="O4" s="7">
        <v>4.5439999999999999E-7</v>
      </c>
    </row>
    <row r="5" spans="1:22" x14ac:dyDescent="0.55000000000000004">
      <c r="A5" s="26" t="s">
        <v>15</v>
      </c>
      <c r="B5" s="13">
        <v>2.9999999999999997E-4</v>
      </c>
      <c r="C5" s="2">
        <v>0</v>
      </c>
      <c r="D5" s="3">
        <v>3.1160000000000001</v>
      </c>
      <c r="E5" s="3">
        <v>0</v>
      </c>
      <c r="F5" s="3">
        <v>660.08500000000004</v>
      </c>
      <c r="G5" s="3">
        <v>0</v>
      </c>
      <c r="H5" s="3">
        <v>632.50800000000004</v>
      </c>
      <c r="I5" s="3">
        <v>0</v>
      </c>
      <c r="J5" s="3">
        <v>0</v>
      </c>
      <c r="K5" s="4">
        <v>2.9881000000000001E-2</v>
      </c>
      <c r="L5" s="4">
        <v>2.9881000000000001E-2</v>
      </c>
      <c r="M5" s="2">
        <v>0</v>
      </c>
      <c r="N5" s="5">
        <v>7.2919999999999998E-6</v>
      </c>
      <c r="O5" s="7">
        <v>1.076E-7</v>
      </c>
    </row>
    <row r="6" spans="1:22" x14ac:dyDescent="0.55000000000000004">
      <c r="A6" s="26" t="s">
        <v>15</v>
      </c>
      <c r="B6" s="13">
        <v>1E-4</v>
      </c>
      <c r="C6" s="2">
        <v>0</v>
      </c>
      <c r="D6" s="3">
        <v>2.8420000000000001</v>
      </c>
      <c r="E6" s="3">
        <v>0</v>
      </c>
      <c r="F6" s="3">
        <v>649.03800000000001</v>
      </c>
      <c r="G6" s="3">
        <v>0</v>
      </c>
      <c r="H6" s="3">
        <v>621.27599999999995</v>
      </c>
      <c r="I6" s="3">
        <v>0</v>
      </c>
      <c r="J6" s="3">
        <v>0</v>
      </c>
      <c r="K6" s="4">
        <v>9.9600000000000001E-3</v>
      </c>
      <c r="L6" s="4">
        <v>9.9600000000000001E-3</v>
      </c>
      <c r="M6" s="2">
        <v>0</v>
      </c>
      <c r="N6" s="5">
        <v>1.3629999999999999E-6</v>
      </c>
      <c r="O6" s="7">
        <v>1.103E-7</v>
      </c>
    </row>
    <row r="7" spans="1:22" x14ac:dyDescent="0.55000000000000004">
      <c r="A7" s="26" t="s">
        <v>16</v>
      </c>
      <c r="B7" s="13">
        <v>0.01</v>
      </c>
      <c r="C7" s="2">
        <v>0</v>
      </c>
      <c r="D7" s="3">
        <v>5.9550000000000001</v>
      </c>
      <c r="E7" s="3">
        <v>0</v>
      </c>
      <c r="F7" s="3">
        <v>610.23199999999997</v>
      </c>
      <c r="G7" s="3">
        <v>0</v>
      </c>
      <c r="H7" s="3">
        <v>622.13800000000003</v>
      </c>
      <c r="I7" s="3">
        <v>0</v>
      </c>
      <c r="J7" s="3">
        <v>0</v>
      </c>
      <c r="K7" s="4">
        <v>1.062011</v>
      </c>
      <c r="L7" s="4">
        <v>1.062011</v>
      </c>
      <c r="M7" s="2">
        <v>0</v>
      </c>
      <c r="N7" s="5">
        <v>1.139E-4</v>
      </c>
      <c r="O7" s="7">
        <v>2.0799999999999999E-4</v>
      </c>
    </row>
    <row r="8" spans="1:22" x14ac:dyDescent="0.55000000000000004">
      <c r="A8" s="26" t="s">
        <v>16</v>
      </c>
      <c r="B8" s="13">
        <v>3.0000000000000001E-3</v>
      </c>
      <c r="C8" s="2">
        <v>0</v>
      </c>
      <c r="D8" s="3">
        <v>4.3360000000000003</v>
      </c>
      <c r="E8" s="3">
        <v>0</v>
      </c>
      <c r="F8" s="3">
        <v>610.35199999999998</v>
      </c>
      <c r="G8" s="3">
        <v>0</v>
      </c>
      <c r="H8" s="3">
        <v>604.21500000000003</v>
      </c>
      <c r="I8" s="3">
        <v>0</v>
      </c>
      <c r="J8" s="3">
        <v>0</v>
      </c>
      <c r="K8" s="4">
        <v>0.31860300000000003</v>
      </c>
      <c r="L8" s="4">
        <v>0.31860300000000003</v>
      </c>
      <c r="M8" s="2">
        <v>0</v>
      </c>
      <c r="N8" s="5">
        <v>3.4769999999999999E-6</v>
      </c>
      <c r="O8" s="7">
        <v>1.0869999999999999E-5</v>
      </c>
    </row>
    <row r="9" spans="1:22" x14ac:dyDescent="0.55000000000000004">
      <c r="A9" s="26" t="s">
        <v>16</v>
      </c>
      <c r="B9" s="13">
        <v>1E-3</v>
      </c>
      <c r="C9" s="2">
        <v>0</v>
      </c>
      <c r="D9" s="3">
        <v>3.4119999999999999</v>
      </c>
      <c r="E9" s="3">
        <v>0</v>
      </c>
      <c r="F9" s="3">
        <v>594.67200000000003</v>
      </c>
      <c r="G9" s="3">
        <v>0</v>
      </c>
      <c r="H9" s="3">
        <v>583.34900000000005</v>
      </c>
      <c r="I9" s="3">
        <v>0</v>
      </c>
      <c r="J9" s="3">
        <v>0</v>
      </c>
      <c r="K9" s="4">
        <v>0.106201</v>
      </c>
      <c r="L9" s="4">
        <v>0.106201</v>
      </c>
      <c r="M9" s="2">
        <v>0</v>
      </c>
      <c r="N9" s="5">
        <v>1.1760000000000001E-9</v>
      </c>
      <c r="O9" s="7">
        <v>3.2959999999999999E-7</v>
      </c>
    </row>
    <row r="10" spans="1:22" x14ac:dyDescent="0.55000000000000004">
      <c r="A10" s="26" t="s">
        <v>16</v>
      </c>
      <c r="B10" s="13">
        <v>2.9999999999999997E-4</v>
      </c>
      <c r="C10" s="2">
        <v>0</v>
      </c>
      <c r="D10" s="3">
        <v>3.0830000000000002</v>
      </c>
      <c r="E10" s="3">
        <v>0</v>
      </c>
      <c r="F10" s="3">
        <v>581.28700000000003</v>
      </c>
      <c r="G10" s="3">
        <v>0</v>
      </c>
      <c r="H10" s="3">
        <v>559.73500000000001</v>
      </c>
      <c r="I10" s="3">
        <v>0</v>
      </c>
      <c r="J10" s="3">
        <v>0</v>
      </c>
      <c r="K10" s="4">
        <v>3.1859999999999999E-2</v>
      </c>
      <c r="L10" s="4">
        <v>3.1859999999999999E-2</v>
      </c>
      <c r="M10" s="2">
        <v>0</v>
      </c>
      <c r="N10" s="5">
        <v>5.5409999999999998E-8</v>
      </c>
      <c r="O10" s="7">
        <v>2.4929999999999999E-7</v>
      </c>
    </row>
    <row r="11" spans="1:22" x14ac:dyDescent="0.55000000000000004">
      <c r="A11" s="26" t="s">
        <v>16</v>
      </c>
      <c r="B11" s="13">
        <v>1E-4</v>
      </c>
      <c r="C11" s="2">
        <v>0</v>
      </c>
      <c r="D11" s="3">
        <v>2.5859999999999999</v>
      </c>
      <c r="E11" s="3">
        <v>0</v>
      </c>
      <c r="F11" s="3">
        <v>558.03599999999994</v>
      </c>
      <c r="G11" s="3">
        <v>0</v>
      </c>
      <c r="H11" s="3">
        <v>552.60799999999995</v>
      </c>
      <c r="I11" s="3">
        <v>0</v>
      </c>
      <c r="J11" s="3">
        <v>0</v>
      </c>
      <c r="K11" s="4">
        <v>1.0619999999999999E-2</v>
      </c>
      <c r="L11" s="4">
        <v>1.0619999999999999E-2</v>
      </c>
      <c r="M11" s="2">
        <v>0</v>
      </c>
      <c r="N11" s="5">
        <v>5.3890000000000001E-8</v>
      </c>
      <c r="O11" s="7">
        <v>1.247E-7</v>
      </c>
    </row>
    <row r="12" spans="1:22" x14ac:dyDescent="0.55000000000000004">
      <c r="A12" s="26" t="s">
        <v>17</v>
      </c>
      <c r="B12" s="13">
        <v>0.01</v>
      </c>
      <c r="C12" s="2">
        <v>0</v>
      </c>
      <c r="D12" s="3">
        <v>7.7530000000000001</v>
      </c>
      <c r="E12" s="3">
        <v>0</v>
      </c>
      <c r="F12" s="3">
        <v>742.61800000000005</v>
      </c>
      <c r="G12" s="3">
        <v>0</v>
      </c>
      <c r="H12" s="3">
        <v>716.33199999999999</v>
      </c>
      <c r="I12" s="3">
        <v>0</v>
      </c>
      <c r="J12" s="3">
        <v>0</v>
      </c>
      <c r="K12" s="4">
        <v>822836.375</v>
      </c>
      <c r="L12" s="4">
        <v>822836.375</v>
      </c>
      <c r="M12" s="2">
        <v>0</v>
      </c>
      <c r="N12" s="5">
        <v>0.4118</v>
      </c>
      <c r="O12" s="7">
        <v>2.2699999999999999E-3</v>
      </c>
    </row>
    <row r="13" spans="1:22" x14ac:dyDescent="0.55000000000000004">
      <c r="A13" s="26" t="s">
        <v>17</v>
      </c>
      <c r="B13" s="13">
        <v>3.0000000000000001E-3</v>
      </c>
      <c r="C13" s="2">
        <v>0</v>
      </c>
      <c r="D13" s="3">
        <v>5.234</v>
      </c>
      <c r="E13" s="3">
        <v>0</v>
      </c>
      <c r="F13" s="3">
        <v>709.45600000000002</v>
      </c>
      <c r="G13" s="3">
        <v>0</v>
      </c>
      <c r="H13" s="3">
        <v>688.57899999999995</v>
      </c>
      <c r="I13" s="3">
        <v>0</v>
      </c>
      <c r="J13" s="3">
        <v>0</v>
      </c>
      <c r="K13" s="4">
        <v>246850.921875</v>
      </c>
      <c r="L13" s="4">
        <v>246850.921875</v>
      </c>
      <c r="M13" s="2">
        <v>0</v>
      </c>
      <c r="N13" s="5">
        <v>2.5729999999999999E-2</v>
      </c>
      <c r="O13" s="7">
        <v>1.4219999999999999E-4</v>
      </c>
    </row>
    <row r="14" spans="1:22" x14ac:dyDescent="0.55000000000000004">
      <c r="A14" s="26" t="s">
        <v>17</v>
      </c>
      <c r="B14" s="13">
        <v>1E-3</v>
      </c>
      <c r="C14" s="2">
        <v>0</v>
      </c>
      <c r="D14" s="3">
        <v>4.5</v>
      </c>
      <c r="E14" s="3">
        <v>0</v>
      </c>
      <c r="F14" s="3">
        <v>700.89099999999996</v>
      </c>
      <c r="G14" s="3">
        <v>0</v>
      </c>
      <c r="H14" s="3">
        <v>670.39099999999996</v>
      </c>
      <c r="I14" s="3">
        <v>0</v>
      </c>
      <c r="J14" s="3">
        <v>0</v>
      </c>
      <c r="K14" s="4">
        <v>82283.640625</v>
      </c>
      <c r="L14" s="4">
        <v>82283.640625</v>
      </c>
      <c r="M14" s="2">
        <v>0</v>
      </c>
      <c r="N14" s="5">
        <v>1.7440000000000001E-3</v>
      </c>
      <c r="O14" s="7">
        <v>3.3670000000000001E-5</v>
      </c>
    </row>
    <row r="15" spans="1:22" x14ac:dyDescent="0.55000000000000004">
      <c r="A15" s="26" t="s">
        <v>17</v>
      </c>
      <c r="B15" s="13">
        <v>2.9999999999999997E-4</v>
      </c>
      <c r="C15" s="2">
        <v>0</v>
      </c>
      <c r="D15" s="3">
        <v>3.5129999999999999</v>
      </c>
      <c r="E15" s="3">
        <v>0</v>
      </c>
      <c r="F15" s="3">
        <v>672.97299999999996</v>
      </c>
      <c r="G15" s="3">
        <v>0</v>
      </c>
      <c r="H15" s="3">
        <v>645.625</v>
      </c>
      <c r="I15" s="3">
        <v>0</v>
      </c>
      <c r="J15" s="3">
        <v>0</v>
      </c>
      <c r="K15" s="4">
        <v>24685.09375</v>
      </c>
      <c r="L15" s="4">
        <v>24685.09375</v>
      </c>
      <c r="M15" s="2">
        <v>0</v>
      </c>
      <c r="N15" s="5">
        <v>3.4889999999999999E-3</v>
      </c>
      <c r="O15" s="7">
        <v>2.0889999999999998E-6</v>
      </c>
    </row>
    <row r="16" spans="1:22" ht="14.7" thickBot="1" x14ac:dyDescent="0.6">
      <c r="A16" s="28" t="s">
        <v>17</v>
      </c>
      <c r="B16" s="29">
        <v>1E-4</v>
      </c>
      <c r="C16" s="30">
        <v>0</v>
      </c>
      <c r="D16" s="31">
        <v>3.165</v>
      </c>
      <c r="E16" s="31">
        <v>0</v>
      </c>
      <c r="F16" s="31">
        <v>652.09900000000005</v>
      </c>
      <c r="G16" s="31">
        <v>0</v>
      </c>
      <c r="H16" s="31">
        <v>632.29100000000005</v>
      </c>
      <c r="I16" s="31">
        <v>0</v>
      </c>
      <c r="J16" s="31">
        <v>0</v>
      </c>
      <c r="K16" s="32">
        <v>8228.3642579999996</v>
      </c>
      <c r="L16" s="32">
        <v>8228.3642579999996</v>
      </c>
      <c r="M16" s="30">
        <v>0</v>
      </c>
      <c r="N16" s="33">
        <v>2.3949999999999999E-4</v>
      </c>
      <c r="O16" s="34">
        <v>6.7270000000000003E-7</v>
      </c>
      <c r="Q16" s="1" t="s">
        <v>18</v>
      </c>
      <c r="R16" s="1" t="s">
        <v>19</v>
      </c>
      <c r="S16" s="1" t="s">
        <v>20</v>
      </c>
      <c r="U16" s="48" t="s">
        <v>21</v>
      </c>
      <c r="V16" s="48" t="s">
        <v>22</v>
      </c>
    </row>
    <row r="17" spans="1:22" x14ac:dyDescent="0.55000000000000004">
      <c r="A17" s="35" t="s">
        <v>15</v>
      </c>
      <c r="B17" s="36">
        <v>0.01</v>
      </c>
      <c r="C17" s="37">
        <v>1</v>
      </c>
      <c r="D17" s="38">
        <v>5.641</v>
      </c>
      <c r="E17" s="38">
        <v>877.61</v>
      </c>
      <c r="F17" s="38">
        <v>743.64400000000001</v>
      </c>
      <c r="G17" s="38">
        <v>402.54599999999999</v>
      </c>
      <c r="H17" s="38">
        <v>711.48599999999999</v>
      </c>
      <c r="I17" s="38">
        <v>190.20099999999999</v>
      </c>
      <c r="J17" s="38">
        <v>150.08000000000001</v>
      </c>
      <c r="K17" s="39">
        <v>0.99603399999999997</v>
      </c>
      <c r="L17" s="39">
        <v>0.89643099999999998</v>
      </c>
      <c r="M17" s="37">
        <v>0</v>
      </c>
      <c r="N17" s="40">
        <v>1.2709999999999999E-8</v>
      </c>
      <c r="O17" s="41">
        <v>4.9899999999999999E-4</v>
      </c>
      <c r="Q17" s="42">
        <f>D17/D2</f>
        <v>1</v>
      </c>
      <c r="R17" s="43">
        <f>G17/F2</f>
        <v>0.55054747570345774</v>
      </c>
      <c r="S17" s="43">
        <f>J17/H2</f>
        <v>0.21475127172303268</v>
      </c>
      <c r="U17" s="49">
        <f>N2/N17</f>
        <v>29858.379228953581</v>
      </c>
      <c r="V17" s="49">
        <f>O2/O17</f>
        <v>4.4509018036072143E-2</v>
      </c>
    </row>
    <row r="18" spans="1:22" x14ac:dyDescent="0.55000000000000004">
      <c r="A18" s="26" t="s">
        <v>15</v>
      </c>
      <c r="B18" s="13">
        <v>3.0000000000000001E-3</v>
      </c>
      <c r="C18" s="2">
        <v>1</v>
      </c>
      <c r="D18" s="3">
        <v>4.8840000000000003</v>
      </c>
      <c r="E18" s="3">
        <v>867.91700000000003</v>
      </c>
      <c r="F18" s="3">
        <v>737.88599999999997</v>
      </c>
      <c r="G18" s="3">
        <v>398.81799999999998</v>
      </c>
      <c r="H18" s="3">
        <v>686.351</v>
      </c>
      <c r="I18" s="3">
        <v>182.619</v>
      </c>
      <c r="J18" s="3">
        <v>144.24100000000001</v>
      </c>
      <c r="K18" s="4">
        <v>0.29881000000000002</v>
      </c>
      <c r="L18" s="4">
        <v>0.26892899999999997</v>
      </c>
      <c r="M18" s="2">
        <v>0</v>
      </c>
      <c r="N18" s="5">
        <v>1.1959999999999999E-8</v>
      </c>
      <c r="O18" s="7">
        <v>1.548E-4</v>
      </c>
      <c r="Q18" s="42">
        <f t="shared" ref="Q18:Q31" si="0">D18/D3</f>
        <v>1</v>
      </c>
      <c r="R18" s="43">
        <f t="shared" ref="R18:R31" si="1">G18/F3</f>
        <v>0.55872356759997865</v>
      </c>
      <c r="S18" s="43">
        <f t="shared" ref="S18:S31" si="2">J18/H3</f>
        <v>0.21038222673399318</v>
      </c>
      <c r="U18" s="49">
        <f t="shared" ref="U18:V18" si="3">N3/N18</f>
        <v>9949.8327759197327</v>
      </c>
      <c r="V18" s="49">
        <f t="shared" si="3"/>
        <v>3.3294573643410853E-2</v>
      </c>
    </row>
    <row r="19" spans="1:22" x14ac:dyDescent="0.55000000000000004">
      <c r="A19" s="26" t="s">
        <v>15</v>
      </c>
      <c r="B19" s="13">
        <v>1E-3</v>
      </c>
      <c r="C19" s="2">
        <v>1</v>
      </c>
      <c r="D19" s="3">
        <v>3.823</v>
      </c>
      <c r="E19" s="3">
        <v>868.024</v>
      </c>
      <c r="F19" s="3">
        <v>708.16099999999994</v>
      </c>
      <c r="G19" s="3">
        <v>389.99299999999999</v>
      </c>
      <c r="H19" s="3">
        <v>662.76400000000001</v>
      </c>
      <c r="I19" s="3">
        <v>189.149</v>
      </c>
      <c r="J19" s="3">
        <v>147.15199999999999</v>
      </c>
      <c r="K19" s="4">
        <v>9.9602999999999997E-2</v>
      </c>
      <c r="L19" s="4">
        <v>8.9643E-2</v>
      </c>
      <c r="M19" s="2">
        <v>0</v>
      </c>
      <c r="N19" s="5">
        <v>1.9219999999999999E-8</v>
      </c>
      <c r="O19" s="7">
        <v>3.5089999999999998E-5</v>
      </c>
      <c r="Q19" s="42">
        <f t="shared" si="0"/>
        <v>1</v>
      </c>
      <c r="R19" s="43">
        <f t="shared" si="1"/>
        <v>0.57006352668091365</v>
      </c>
      <c r="S19" s="43">
        <f t="shared" si="2"/>
        <v>0.22295690013060565</v>
      </c>
      <c r="U19" s="49">
        <f t="shared" ref="U19:V19" si="4">N4/N19</f>
        <v>1435.483870967742</v>
      </c>
      <c r="V19" s="49">
        <f t="shared" si="4"/>
        <v>1.2949558278711885E-2</v>
      </c>
    </row>
    <row r="20" spans="1:22" x14ac:dyDescent="0.55000000000000004">
      <c r="A20" s="26" t="s">
        <v>15</v>
      </c>
      <c r="B20" s="13">
        <v>2.9999999999999997E-4</v>
      </c>
      <c r="C20" s="2">
        <v>1</v>
      </c>
      <c r="D20" s="3">
        <v>3.1160000000000001</v>
      </c>
      <c r="E20" s="3">
        <v>862.37300000000005</v>
      </c>
      <c r="F20" s="3">
        <v>682.61400000000003</v>
      </c>
      <c r="G20" s="3">
        <v>381.01799999999997</v>
      </c>
      <c r="H20" s="3">
        <v>634.64300000000003</v>
      </c>
      <c r="I20" s="3">
        <v>189.61199999999999</v>
      </c>
      <c r="J20" s="3">
        <v>145.99299999999999</v>
      </c>
      <c r="K20" s="4">
        <v>2.9881000000000001E-2</v>
      </c>
      <c r="L20" s="4">
        <v>2.6893E-2</v>
      </c>
      <c r="M20" s="2">
        <v>0</v>
      </c>
      <c r="N20" s="5">
        <v>1.2380000000000001E-8</v>
      </c>
      <c r="O20" s="7">
        <v>9.2949999999999999E-6</v>
      </c>
      <c r="Q20" s="42">
        <f t="shared" si="0"/>
        <v>1</v>
      </c>
      <c r="R20" s="43">
        <f t="shared" si="1"/>
        <v>0.57722566033162392</v>
      </c>
      <c r="S20" s="43">
        <f t="shared" si="2"/>
        <v>0.23081605291948876</v>
      </c>
      <c r="U20" s="49">
        <f t="shared" ref="U20:V20" si="5">N5/N20</f>
        <v>589.01453957996762</v>
      </c>
      <c r="V20" s="49">
        <f t="shared" si="5"/>
        <v>1.1576116191500807E-2</v>
      </c>
    </row>
    <row r="21" spans="1:22" x14ac:dyDescent="0.55000000000000004">
      <c r="A21" s="26" t="s">
        <v>15</v>
      </c>
      <c r="B21" s="13">
        <v>1E-4</v>
      </c>
      <c r="C21" s="2">
        <v>1</v>
      </c>
      <c r="D21" s="3">
        <v>2.8420000000000001</v>
      </c>
      <c r="E21" s="3">
        <v>859.62699999999995</v>
      </c>
      <c r="F21" s="3">
        <v>666.39200000000005</v>
      </c>
      <c r="G21" s="3">
        <v>375.38799999999998</v>
      </c>
      <c r="H21" s="3">
        <v>622.04600000000005</v>
      </c>
      <c r="I21" s="3">
        <v>188.446</v>
      </c>
      <c r="J21" s="3">
        <v>144.631</v>
      </c>
      <c r="K21" s="4">
        <v>9.9600000000000001E-3</v>
      </c>
      <c r="L21" s="4">
        <v>8.9639999999999997E-3</v>
      </c>
      <c r="M21" s="2">
        <v>0</v>
      </c>
      <c r="N21" s="5">
        <v>3.9410000000000003E-9</v>
      </c>
      <c r="O21" s="7">
        <v>1.5850000000000001E-6</v>
      </c>
      <c r="Q21" s="42">
        <f t="shared" si="0"/>
        <v>1</v>
      </c>
      <c r="R21" s="43">
        <f t="shared" si="1"/>
        <v>0.57837599647478266</v>
      </c>
      <c r="S21" s="43">
        <f t="shared" si="2"/>
        <v>0.23279669583244808</v>
      </c>
      <c r="U21" s="49">
        <f t="shared" ref="U21:V21" si="6">N6/N21</f>
        <v>345.85130677493015</v>
      </c>
      <c r="V21" s="49">
        <f t="shared" si="6"/>
        <v>6.9589905362776025E-2</v>
      </c>
    </row>
    <row r="22" spans="1:22" x14ac:dyDescent="0.55000000000000004">
      <c r="A22" s="26" t="s">
        <v>16</v>
      </c>
      <c r="B22" s="13">
        <v>0.01</v>
      </c>
      <c r="C22" s="2">
        <v>1</v>
      </c>
      <c r="D22" s="3">
        <v>5.0179999999999998</v>
      </c>
      <c r="E22" s="3">
        <v>628.899</v>
      </c>
      <c r="F22" s="3">
        <v>737.55</v>
      </c>
      <c r="G22" s="3">
        <v>339.45299999999997</v>
      </c>
      <c r="H22" s="3">
        <v>626.00199999999995</v>
      </c>
      <c r="I22" s="3">
        <v>70.233999999999995</v>
      </c>
      <c r="J22" s="3">
        <v>63.149000000000001</v>
      </c>
      <c r="K22" s="4">
        <v>1.062011</v>
      </c>
      <c r="L22" s="4">
        <v>0.95581000000000005</v>
      </c>
      <c r="M22" s="2">
        <v>0</v>
      </c>
      <c r="N22" s="5">
        <v>1.8720000000000002E-8</v>
      </c>
      <c r="O22" s="7">
        <v>6.032E-6</v>
      </c>
      <c r="Q22" s="42">
        <f t="shared" si="0"/>
        <v>0.84265323257766578</v>
      </c>
      <c r="R22" s="43">
        <f t="shared" si="1"/>
        <v>0.55626876335557618</v>
      </c>
      <c r="S22" s="43">
        <f t="shared" si="2"/>
        <v>0.10150320346932673</v>
      </c>
      <c r="U22" s="49">
        <f t="shared" ref="U22:V22" si="7">N7/N22</f>
        <v>6084.401709401709</v>
      </c>
      <c r="V22" s="49">
        <f t="shared" si="7"/>
        <v>34.482758620689651</v>
      </c>
    </row>
    <row r="23" spans="1:22" x14ac:dyDescent="0.55000000000000004">
      <c r="A23" s="26" t="s">
        <v>16</v>
      </c>
      <c r="B23" s="13">
        <v>3.0000000000000001E-3</v>
      </c>
      <c r="C23" s="2">
        <v>1</v>
      </c>
      <c r="D23" s="3">
        <v>4.3360000000000003</v>
      </c>
      <c r="E23" s="3">
        <v>622.38599999999997</v>
      </c>
      <c r="F23" s="3">
        <v>718.06100000000004</v>
      </c>
      <c r="G23" s="3">
        <v>333.404</v>
      </c>
      <c r="H23" s="3">
        <v>613.82799999999997</v>
      </c>
      <c r="I23" s="3">
        <v>70.593999999999994</v>
      </c>
      <c r="J23" s="3">
        <v>63.313000000000002</v>
      </c>
      <c r="K23" s="4">
        <v>0.31860300000000003</v>
      </c>
      <c r="L23" s="4">
        <v>0.28674300000000003</v>
      </c>
      <c r="M23" s="2">
        <v>0</v>
      </c>
      <c r="N23" s="5">
        <v>6.9560000000000004E-9</v>
      </c>
      <c r="O23" s="7">
        <v>1.4239999999999999E-5</v>
      </c>
      <c r="Q23" s="42">
        <f t="shared" si="0"/>
        <v>1</v>
      </c>
      <c r="R23" s="43">
        <f t="shared" si="1"/>
        <v>0.54624872204891606</v>
      </c>
      <c r="S23" s="43">
        <f t="shared" si="2"/>
        <v>0.10478554819062751</v>
      </c>
      <c r="U23" s="49">
        <f t="shared" ref="U23:V23" si="8">N8/N23</f>
        <v>499.85623921794132</v>
      </c>
      <c r="V23" s="49">
        <f t="shared" si="8"/>
        <v>0.7633426966292135</v>
      </c>
    </row>
    <row r="24" spans="1:22" x14ac:dyDescent="0.55000000000000004">
      <c r="A24" s="26" t="s">
        <v>16</v>
      </c>
      <c r="B24" s="13">
        <v>1E-3</v>
      </c>
      <c r="C24" s="2">
        <v>1</v>
      </c>
      <c r="D24" s="3">
        <v>3.4119999999999999</v>
      </c>
      <c r="E24" s="3">
        <v>623.00599999999997</v>
      </c>
      <c r="F24" s="3">
        <v>695.52599999999995</v>
      </c>
      <c r="G24" s="3">
        <v>328.63600000000002</v>
      </c>
      <c r="H24" s="3">
        <v>591.85599999999999</v>
      </c>
      <c r="I24" s="3">
        <v>70.5</v>
      </c>
      <c r="J24" s="3">
        <v>62.996000000000002</v>
      </c>
      <c r="K24" s="4">
        <v>0.106201</v>
      </c>
      <c r="L24" s="4">
        <v>9.5580999999999999E-2</v>
      </c>
      <c r="M24" s="2">
        <v>0</v>
      </c>
      <c r="N24" s="5">
        <v>1.144E-9</v>
      </c>
      <c r="O24" s="7">
        <v>3.2959999999999999E-7</v>
      </c>
      <c r="Q24" s="42">
        <f t="shared" si="0"/>
        <v>1</v>
      </c>
      <c r="R24" s="43">
        <f t="shared" si="1"/>
        <v>0.55263405709365832</v>
      </c>
      <c r="S24" s="43">
        <f t="shared" si="2"/>
        <v>0.10799024254777156</v>
      </c>
      <c r="U24" s="49">
        <f t="shared" ref="U24:V24" si="9">N9/N24</f>
        <v>1.0279720279720281</v>
      </c>
      <c r="V24" s="49">
        <f t="shared" si="9"/>
        <v>1</v>
      </c>
    </row>
    <row r="25" spans="1:22" x14ac:dyDescent="0.55000000000000004">
      <c r="A25" s="26" t="s">
        <v>16</v>
      </c>
      <c r="B25" s="13">
        <v>2.9999999999999997E-4</v>
      </c>
      <c r="C25" s="2">
        <v>1</v>
      </c>
      <c r="D25" s="3">
        <v>2.8130000000000002</v>
      </c>
      <c r="E25" s="3">
        <v>533.09500000000003</v>
      </c>
      <c r="F25" s="3">
        <v>656.65099999999995</v>
      </c>
      <c r="G25" s="3">
        <v>294.22800000000001</v>
      </c>
      <c r="H25" s="3">
        <v>571.08900000000006</v>
      </c>
      <c r="I25" s="3">
        <v>70.741</v>
      </c>
      <c r="J25" s="3">
        <v>62.944000000000003</v>
      </c>
      <c r="K25" s="4">
        <v>3.1859999999999999E-2</v>
      </c>
      <c r="L25" s="4">
        <v>2.8674000000000002E-2</v>
      </c>
      <c r="M25" s="2">
        <v>0</v>
      </c>
      <c r="N25" s="5">
        <v>1.749E-8</v>
      </c>
      <c r="O25" s="7">
        <v>1.3729999999999999E-7</v>
      </c>
      <c r="Q25" s="42">
        <f t="shared" si="0"/>
        <v>0.91242296464482642</v>
      </c>
      <c r="R25" s="43">
        <f t="shared" si="1"/>
        <v>0.50616648918692486</v>
      </c>
      <c r="S25" s="43">
        <f t="shared" si="2"/>
        <v>0.11245321446756054</v>
      </c>
      <c r="U25" s="49">
        <f t="shared" ref="U25:V25" si="10">N10/N25</f>
        <v>3.1680960548885078</v>
      </c>
      <c r="V25" s="49">
        <f t="shared" si="10"/>
        <v>1.8157319737800437</v>
      </c>
    </row>
    <row r="26" spans="1:22" x14ac:dyDescent="0.55000000000000004">
      <c r="A26" s="26" t="s">
        <v>16</v>
      </c>
      <c r="B26" s="13">
        <v>1E-4</v>
      </c>
      <c r="C26" s="2">
        <v>1</v>
      </c>
      <c r="D26" s="3">
        <v>2.5859999999999999</v>
      </c>
      <c r="E26" s="3">
        <v>605.62</v>
      </c>
      <c r="F26" s="3">
        <v>678.75800000000004</v>
      </c>
      <c r="G26" s="3">
        <v>320.053</v>
      </c>
      <c r="H26" s="3">
        <v>558.53399999999999</v>
      </c>
      <c r="I26" s="3">
        <v>52.561999999999998</v>
      </c>
      <c r="J26" s="3">
        <v>48.040999999999997</v>
      </c>
      <c r="K26" s="4">
        <v>1.0619999999999999E-2</v>
      </c>
      <c r="L26" s="4">
        <v>9.5580000000000005E-3</v>
      </c>
      <c r="M26" s="2">
        <v>0</v>
      </c>
      <c r="N26" s="5">
        <v>2.4839999999999999E-8</v>
      </c>
      <c r="O26" s="7">
        <v>1.2249999999999999E-7</v>
      </c>
      <c r="Q26" s="42">
        <f t="shared" si="0"/>
        <v>1</v>
      </c>
      <c r="R26" s="43">
        <f t="shared" si="1"/>
        <v>0.57353468235024274</v>
      </c>
      <c r="S26" s="43">
        <f t="shared" si="2"/>
        <v>8.6935042561815973E-2</v>
      </c>
      <c r="U26" s="49">
        <f t="shared" ref="U26:V26" si="11">N11/N26</f>
        <v>2.1694847020933978</v>
      </c>
      <c r="V26" s="49">
        <f t="shared" si="11"/>
        <v>1.0179591836734694</v>
      </c>
    </row>
    <row r="27" spans="1:22" x14ac:dyDescent="0.55000000000000004">
      <c r="A27" s="26" t="s">
        <v>17</v>
      </c>
      <c r="B27" s="13">
        <v>0.01</v>
      </c>
      <c r="C27" s="2">
        <v>1</v>
      </c>
      <c r="D27" s="3">
        <v>7.7530000000000001</v>
      </c>
      <c r="E27" s="3">
        <v>855.45699999999999</v>
      </c>
      <c r="F27" s="3">
        <v>768.399</v>
      </c>
      <c r="G27" s="3">
        <v>404.79700000000003</v>
      </c>
      <c r="H27" s="3">
        <v>728.178</v>
      </c>
      <c r="I27" s="3">
        <v>176.68600000000001</v>
      </c>
      <c r="J27" s="3">
        <v>142.18600000000001</v>
      </c>
      <c r="K27" s="4">
        <v>822836.375</v>
      </c>
      <c r="L27" s="4">
        <v>740552.6875</v>
      </c>
      <c r="M27" s="2">
        <v>0</v>
      </c>
      <c r="N27" s="5">
        <v>3.1890000000000001E-5</v>
      </c>
      <c r="O27" s="7">
        <v>2.2699999999999999E-3</v>
      </c>
      <c r="Q27" s="42">
        <f t="shared" si="0"/>
        <v>1</v>
      </c>
      <c r="R27" s="43">
        <f t="shared" si="1"/>
        <v>0.54509451696565392</v>
      </c>
      <c r="S27" s="43">
        <f t="shared" si="2"/>
        <v>0.19849176080364972</v>
      </c>
      <c r="U27" s="49">
        <f t="shared" ref="U27:V27" si="12">N12/N27</f>
        <v>12913.138915020381</v>
      </c>
      <c r="V27" s="49">
        <f t="shared" si="12"/>
        <v>1</v>
      </c>
    </row>
    <row r="28" spans="1:22" x14ac:dyDescent="0.55000000000000004">
      <c r="A28" s="26" t="s">
        <v>17</v>
      </c>
      <c r="B28" s="13">
        <v>3.0000000000000001E-3</v>
      </c>
      <c r="C28" s="2">
        <v>1</v>
      </c>
      <c r="D28" s="3">
        <v>5.234</v>
      </c>
      <c r="E28" s="3">
        <v>864.09199999999998</v>
      </c>
      <c r="F28" s="3">
        <v>732.75800000000004</v>
      </c>
      <c r="G28" s="3">
        <v>396.512</v>
      </c>
      <c r="H28" s="3">
        <v>696.26599999999996</v>
      </c>
      <c r="I28" s="3">
        <v>177.143</v>
      </c>
      <c r="J28" s="3">
        <v>141.215</v>
      </c>
      <c r="K28" s="4">
        <v>246850.921875</v>
      </c>
      <c r="L28" s="4">
        <v>222165.828125</v>
      </c>
      <c r="M28" s="2">
        <v>0</v>
      </c>
      <c r="N28" s="5">
        <v>2.0019999999999999E-4</v>
      </c>
      <c r="O28" s="7">
        <v>1.4219999999999999E-4</v>
      </c>
      <c r="Q28" s="42">
        <f t="shared" si="0"/>
        <v>1</v>
      </c>
      <c r="R28" s="43">
        <f t="shared" si="1"/>
        <v>0.55889583004442844</v>
      </c>
      <c r="S28" s="43">
        <f t="shared" si="2"/>
        <v>0.20508176984775894</v>
      </c>
      <c r="U28" s="49">
        <f t="shared" ref="U28:V28" si="13">N13/N28</f>
        <v>128.52147852147851</v>
      </c>
      <c r="V28" s="49">
        <f t="shared" si="13"/>
        <v>1</v>
      </c>
    </row>
    <row r="29" spans="1:22" x14ac:dyDescent="0.55000000000000004">
      <c r="A29" s="26" t="s">
        <v>17</v>
      </c>
      <c r="B29" s="13">
        <v>1E-3</v>
      </c>
      <c r="C29" s="2">
        <v>1</v>
      </c>
      <c r="D29" s="3">
        <v>4.5</v>
      </c>
      <c r="E29" s="3">
        <v>850.03899999999999</v>
      </c>
      <c r="F29" s="3">
        <v>719.15700000000004</v>
      </c>
      <c r="G29" s="3">
        <v>389.57</v>
      </c>
      <c r="H29" s="3">
        <v>677.375</v>
      </c>
      <c r="I29" s="3">
        <v>161.87</v>
      </c>
      <c r="J29" s="3">
        <v>130.649</v>
      </c>
      <c r="K29" s="4">
        <v>82283.640625</v>
      </c>
      <c r="L29" s="4">
        <v>74055.273438000004</v>
      </c>
      <c r="M29" s="2">
        <v>0</v>
      </c>
      <c r="N29" s="5">
        <v>2.8030000000000001E-6</v>
      </c>
      <c r="O29" s="7">
        <v>3.366E-5</v>
      </c>
      <c r="Q29" s="42">
        <f t="shared" si="0"/>
        <v>1</v>
      </c>
      <c r="R29" s="43">
        <f t="shared" si="1"/>
        <v>0.55582109058327189</v>
      </c>
      <c r="S29" s="43">
        <f t="shared" si="2"/>
        <v>0.19488477619777117</v>
      </c>
      <c r="U29" s="49">
        <f t="shared" ref="U29:V29" si="14">N14/N29</f>
        <v>622.19051016767753</v>
      </c>
      <c r="V29" s="49">
        <f t="shared" si="14"/>
        <v>1.0002970885323827</v>
      </c>
    </row>
    <row r="30" spans="1:22" x14ac:dyDescent="0.55000000000000004">
      <c r="A30" s="26" t="s">
        <v>17</v>
      </c>
      <c r="B30" s="13">
        <v>2.9999999999999997E-4</v>
      </c>
      <c r="C30" s="2">
        <v>1</v>
      </c>
      <c r="D30" s="3">
        <v>3.5129999999999999</v>
      </c>
      <c r="E30" s="3">
        <v>850.64200000000005</v>
      </c>
      <c r="F30" s="3">
        <v>691.44500000000005</v>
      </c>
      <c r="G30" s="3">
        <v>381.41300000000001</v>
      </c>
      <c r="H30" s="3">
        <v>652.91200000000003</v>
      </c>
      <c r="I30" s="3">
        <v>177.31</v>
      </c>
      <c r="J30" s="3">
        <v>139.44200000000001</v>
      </c>
      <c r="K30" s="4">
        <v>24685.09375</v>
      </c>
      <c r="L30" s="4">
        <v>22216.583984000001</v>
      </c>
      <c r="M30" s="2">
        <v>0</v>
      </c>
      <c r="N30" s="5">
        <v>3.168E-4</v>
      </c>
      <c r="O30" s="7">
        <v>2.0880000000000002E-6</v>
      </c>
      <c r="Q30" s="42">
        <f t="shared" si="0"/>
        <v>1</v>
      </c>
      <c r="R30" s="43">
        <f t="shared" si="1"/>
        <v>0.56675825033099403</v>
      </c>
      <c r="S30" s="43">
        <f t="shared" si="2"/>
        <v>0.21597986447241047</v>
      </c>
      <c r="U30" s="49">
        <f t="shared" ref="U30:V30" si="15">N15/N30</f>
        <v>11.013257575757576</v>
      </c>
      <c r="V30" s="49">
        <f t="shared" si="15"/>
        <v>1.000478927203065</v>
      </c>
    </row>
    <row r="31" spans="1:22" ht="14.7" thickBot="1" x14ac:dyDescent="0.6">
      <c r="A31" s="27" t="s">
        <v>17</v>
      </c>
      <c r="B31" s="14">
        <v>1E-4</v>
      </c>
      <c r="C31" s="8">
        <v>1</v>
      </c>
      <c r="D31" s="9">
        <v>2.88</v>
      </c>
      <c r="E31" s="9">
        <v>851.54899999999998</v>
      </c>
      <c r="F31" s="9">
        <v>669.48199999999997</v>
      </c>
      <c r="G31" s="9">
        <v>374.80900000000003</v>
      </c>
      <c r="H31" s="9">
        <v>624.89599999999996</v>
      </c>
      <c r="I31" s="9">
        <v>176.31100000000001</v>
      </c>
      <c r="J31" s="9">
        <v>137.51300000000001</v>
      </c>
      <c r="K31" s="10">
        <v>8228.3642579999996</v>
      </c>
      <c r="L31" s="10">
        <v>7405.5278319999998</v>
      </c>
      <c r="M31" s="8">
        <v>0</v>
      </c>
      <c r="N31" s="11">
        <v>2.051E-4</v>
      </c>
      <c r="O31" s="12">
        <v>1.7560000000000001E-7</v>
      </c>
      <c r="Q31" s="44">
        <f t="shared" si="0"/>
        <v>0.90995260663507105</v>
      </c>
      <c r="R31" s="45">
        <f t="shared" si="1"/>
        <v>0.57477315560980768</v>
      </c>
      <c r="S31" s="45">
        <f t="shared" si="2"/>
        <v>0.2174837218938748</v>
      </c>
      <c r="U31" s="50">
        <f t="shared" ref="U31:V31" si="16">N16/N31</f>
        <v>1.1677230619210142</v>
      </c>
      <c r="V31" s="50">
        <f t="shared" si="16"/>
        <v>3.8308656036446469</v>
      </c>
    </row>
    <row r="32" spans="1:22" x14ac:dyDescent="0.55000000000000004">
      <c r="A32" s="25" t="s">
        <v>15</v>
      </c>
      <c r="B32" s="16">
        <v>0.01</v>
      </c>
      <c r="C32" s="15">
        <v>2</v>
      </c>
      <c r="D32" s="17">
        <v>5.641</v>
      </c>
      <c r="E32" s="17">
        <v>867.13099999999997</v>
      </c>
      <c r="F32" s="17">
        <v>747.68299999999999</v>
      </c>
      <c r="G32" s="17">
        <v>401.495</v>
      </c>
      <c r="H32" s="17">
        <v>707.66099999999994</v>
      </c>
      <c r="I32" s="17">
        <v>269.14400000000001</v>
      </c>
      <c r="J32" s="17">
        <v>194.98599999999999</v>
      </c>
      <c r="K32" s="18">
        <v>0.99603399999999997</v>
      </c>
      <c r="L32" s="18">
        <v>0.89643099999999998</v>
      </c>
      <c r="M32" s="15">
        <v>0</v>
      </c>
      <c r="N32" s="19">
        <v>3.9060000000000001E-4</v>
      </c>
      <c r="O32" s="20">
        <v>2.7769999999999998E-9</v>
      </c>
      <c r="Q32" s="42">
        <f>D32/D2</f>
        <v>1</v>
      </c>
      <c r="R32" s="43">
        <f>G32/F2</f>
        <v>0.54911006135338514</v>
      </c>
      <c r="S32" s="43">
        <f>J32/H2</f>
        <v>0.27900780562491501</v>
      </c>
      <c r="U32" s="49">
        <f>N2/N32</f>
        <v>0.97158218125960061</v>
      </c>
      <c r="V32" s="49">
        <f>O2/O32</f>
        <v>7997.839395030609</v>
      </c>
    </row>
    <row r="33" spans="1:22" x14ac:dyDescent="0.55000000000000004">
      <c r="A33" s="26" t="s">
        <v>15</v>
      </c>
      <c r="B33" s="13">
        <v>3.0000000000000001E-3</v>
      </c>
      <c r="C33" s="2">
        <v>2</v>
      </c>
      <c r="D33" s="3">
        <v>4.8840000000000003</v>
      </c>
      <c r="E33" s="3">
        <v>876.44100000000003</v>
      </c>
      <c r="F33" s="3">
        <v>735.51499999999999</v>
      </c>
      <c r="G33" s="3">
        <v>399.90899999999999</v>
      </c>
      <c r="H33" s="3">
        <v>693.49300000000005</v>
      </c>
      <c r="I33" s="3">
        <v>271.68599999999998</v>
      </c>
      <c r="J33" s="3">
        <v>195.21</v>
      </c>
      <c r="K33" s="4">
        <v>0.29881000000000002</v>
      </c>
      <c r="L33" s="4">
        <v>0.26892899999999997</v>
      </c>
      <c r="M33" s="2">
        <v>0</v>
      </c>
      <c r="N33" s="5">
        <v>1.216E-4</v>
      </c>
      <c r="O33" s="7">
        <v>3.9190000000000001E-10</v>
      </c>
      <c r="Q33" s="42">
        <f t="shared" ref="Q33:Q47" si="17">D33/D3</f>
        <v>1</v>
      </c>
      <c r="R33" s="43">
        <f t="shared" ref="R33:R47" si="18">G33/F3</f>
        <v>0.56025200265619879</v>
      </c>
      <c r="S33" s="43">
        <f t="shared" ref="S33:S47" si="19">J33/H3</f>
        <v>0.28472289072276818</v>
      </c>
      <c r="U33" s="49">
        <f t="shared" ref="U33:V33" si="20">N3/N33</f>
        <v>0.97861842105263164</v>
      </c>
      <c r="V33" s="49">
        <f t="shared" si="20"/>
        <v>13151.314110742536</v>
      </c>
    </row>
    <row r="34" spans="1:22" x14ac:dyDescent="0.55000000000000004">
      <c r="A34" s="26" t="s">
        <v>15</v>
      </c>
      <c r="B34" s="13">
        <v>1E-3</v>
      </c>
      <c r="C34" s="2">
        <v>2</v>
      </c>
      <c r="D34" s="3">
        <v>3.823</v>
      </c>
      <c r="E34" s="3">
        <v>860.048</v>
      </c>
      <c r="F34" s="3">
        <v>703.85299999999995</v>
      </c>
      <c r="G34" s="3">
        <v>387.07499999999999</v>
      </c>
      <c r="H34" s="3">
        <v>664.10199999999998</v>
      </c>
      <c r="I34" s="3">
        <v>270.875</v>
      </c>
      <c r="J34" s="3">
        <v>192.399</v>
      </c>
      <c r="K34" s="4">
        <v>9.9602999999999997E-2</v>
      </c>
      <c r="L34" s="4">
        <v>8.9643E-2</v>
      </c>
      <c r="M34" s="2">
        <v>0</v>
      </c>
      <c r="N34" s="5">
        <v>2.781E-5</v>
      </c>
      <c r="O34" s="7">
        <v>7.5119999999999997E-9</v>
      </c>
      <c r="Q34" s="42">
        <f t="shared" si="17"/>
        <v>1</v>
      </c>
      <c r="R34" s="43">
        <f t="shared" si="18"/>
        <v>0.5657982055832147</v>
      </c>
      <c r="S34" s="43">
        <f t="shared" si="19"/>
        <v>0.29151275299165763</v>
      </c>
      <c r="U34" s="49">
        <f t="shared" ref="U34:V34" si="21">N4/N34</f>
        <v>0.99208917655519591</v>
      </c>
      <c r="V34" s="49">
        <f t="shared" si="21"/>
        <v>60.489882854100109</v>
      </c>
    </row>
    <row r="35" spans="1:22" x14ac:dyDescent="0.55000000000000004">
      <c r="A35" s="26" t="s">
        <v>15</v>
      </c>
      <c r="B35" s="13">
        <v>2.9999999999999997E-4</v>
      </c>
      <c r="C35" s="2">
        <v>2</v>
      </c>
      <c r="D35" s="3">
        <v>3.1160000000000001</v>
      </c>
      <c r="E35" s="3">
        <v>867.02300000000002</v>
      </c>
      <c r="F35" s="3">
        <v>680.60599999999999</v>
      </c>
      <c r="G35" s="3">
        <v>381.29399999999998</v>
      </c>
      <c r="H35" s="3">
        <v>634.03200000000004</v>
      </c>
      <c r="I35" s="3">
        <v>272.62099999999998</v>
      </c>
      <c r="J35" s="3">
        <v>190.64699999999999</v>
      </c>
      <c r="K35" s="4">
        <v>2.9881000000000001E-2</v>
      </c>
      <c r="L35" s="4">
        <v>2.6893E-2</v>
      </c>
      <c r="M35" s="2">
        <v>0</v>
      </c>
      <c r="N35" s="5">
        <v>7.362E-6</v>
      </c>
      <c r="O35" s="7">
        <v>3.6190000000000002E-8</v>
      </c>
      <c r="Q35" s="42">
        <f t="shared" si="17"/>
        <v>1</v>
      </c>
      <c r="R35" s="43">
        <f t="shared" si="18"/>
        <v>0.57764378829999163</v>
      </c>
      <c r="S35" s="43">
        <f t="shared" si="19"/>
        <v>0.30141436946252059</v>
      </c>
      <c r="U35" s="49">
        <f t="shared" ref="U35:V35" si="22">N5/N35</f>
        <v>0.99049171420809556</v>
      </c>
      <c r="V35" s="49">
        <f t="shared" si="22"/>
        <v>2.9731970157502072</v>
      </c>
    </row>
    <row r="36" spans="1:22" x14ac:dyDescent="0.55000000000000004">
      <c r="A36" s="26" t="s">
        <v>15</v>
      </c>
      <c r="B36" s="13">
        <v>1E-4</v>
      </c>
      <c r="C36" s="2">
        <v>2</v>
      </c>
      <c r="D36" s="3">
        <v>2.8420000000000001</v>
      </c>
      <c r="E36" s="3">
        <v>865.24199999999996</v>
      </c>
      <c r="F36" s="3">
        <v>665.971</v>
      </c>
      <c r="G36" s="3">
        <v>376.32</v>
      </c>
      <c r="H36" s="3">
        <v>623.24300000000005</v>
      </c>
      <c r="I36" s="3">
        <v>270.18700000000001</v>
      </c>
      <c r="J36" s="3">
        <v>188.47800000000001</v>
      </c>
      <c r="K36" s="4">
        <v>9.9600000000000001E-3</v>
      </c>
      <c r="L36" s="4">
        <v>8.9639999999999997E-3</v>
      </c>
      <c r="M36" s="2">
        <v>0</v>
      </c>
      <c r="N36" s="5">
        <v>1.288E-6</v>
      </c>
      <c r="O36" s="7">
        <v>4.332E-8</v>
      </c>
      <c r="Q36" s="42">
        <f t="shared" si="17"/>
        <v>1</v>
      </c>
      <c r="R36" s="43">
        <f t="shared" si="18"/>
        <v>0.57981196786628819</v>
      </c>
      <c r="S36" s="43">
        <f t="shared" si="19"/>
        <v>0.30337241419272598</v>
      </c>
      <c r="U36" s="49">
        <f t="shared" ref="U36:V36" si="23">N6/N36</f>
        <v>1.0582298136645962</v>
      </c>
      <c r="V36" s="49">
        <f t="shared" si="23"/>
        <v>2.5461680517082179</v>
      </c>
    </row>
    <row r="37" spans="1:22" x14ac:dyDescent="0.55000000000000004">
      <c r="A37" s="26" t="s">
        <v>16</v>
      </c>
      <c r="B37" s="13">
        <v>0.01</v>
      </c>
      <c r="C37" s="2">
        <v>2</v>
      </c>
      <c r="D37" s="3">
        <v>5.0179999999999998</v>
      </c>
      <c r="E37" s="3">
        <v>632.07899999999995</v>
      </c>
      <c r="F37" s="3">
        <v>679.93899999999996</v>
      </c>
      <c r="G37" s="3">
        <v>327.56799999999998</v>
      </c>
      <c r="H37" s="3">
        <v>626.00199999999995</v>
      </c>
      <c r="I37" s="3">
        <v>282.678</v>
      </c>
      <c r="J37" s="3">
        <v>194.74</v>
      </c>
      <c r="K37" s="4">
        <v>1.062011</v>
      </c>
      <c r="L37" s="4">
        <v>0.95581000000000005</v>
      </c>
      <c r="M37" s="2">
        <v>0</v>
      </c>
      <c r="N37" s="5">
        <v>7.5560000000000002E-6</v>
      </c>
      <c r="O37" s="7">
        <v>2.471E-10</v>
      </c>
      <c r="Q37" s="42">
        <f t="shared" si="17"/>
        <v>0.84265323257766578</v>
      </c>
      <c r="R37" s="43">
        <f t="shared" si="18"/>
        <v>0.53679256413954035</v>
      </c>
      <c r="S37" s="43">
        <f t="shared" si="19"/>
        <v>0.31301736913675099</v>
      </c>
      <c r="U37" s="49">
        <f t="shared" ref="U37:V37" si="24">N7/N37</f>
        <v>15.074113287453679</v>
      </c>
      <c r="V37" s="49">
        <f t="shared" si="24"/>
        <v>841764.46782679076</v>
      </c>
    </row>
    <row r="38" spans="1:22" x14ac:dyDescent="0.55000000000000004">
      <c r="A38" s="26" t="s">
        <v>16</v>
      </c>
      <c r="B38" s="13">
        <v>3.0000000000000001E-3</v>
      </c>
      <c r="C38" s="2">
        <v>2</v>
      </c>
      <c r="D38" s="3">
        <v>4.3360000000000003</v>
      </c>
      <c r="E38" s="3">
        <v>647.4</v>
      </c>
      <c r="F38" s="3">
        <v>714.77599999999995</v>
      </c>
      <c r="G38" s="3">
        <v>339.71100000000001</v>
      </c>
      <c r="H38" s="3">
        <v>617.83299999999997</v>
      </c>
      <c r="I38" s="3">
        <v>279.84199999999998</v>
      </c>
      <c r="J38" s="3">
        <v>192.60400000000001</v>
      </c>
      <c r="K38" s="4">
        <v>0.31860300000000003</v>
      </c>
      <c r="L38" s="4">
        <v>0.28674300000000003</v>
      </c>
      <c r="M38" s="2">
        <v>0</v>
      </c>
      <c r="N38" s="5">
        <v>8.9129999999999992E-6</v>
      </c>
      <c r="O38" s="7">
        <v>1.239E-9</v>
      </c>
      <c r="Q38" s="42">
        <f t="shared" si="17"/>
        <v>1</v>
      </c>
      <c r="R38" s="43">
        <f t="shared" si="18"/>
        <v>0.55658210344194825</v>
      </c>
      <c r="S38" s="43">
        <f t="shared" si="19"/>
        <v>0.31876732620011089</v>
      </c>
      <c r="U38" s="49">
        <f t="shared" ref="U38:V38" si="25">N8/N38</f>
        <v>0.3901043419723999</v>
      </c>
      <c r="V38" s="49">
        <f t="shared" si="25"/>
        <v>8773.2041969330094</v>
      </c>
    </row>
    <row r="39" spans="1:22" x14ac:dyDescent="0.55000000000000004">
      <c r="A39" s="26" t="s">
        <v>16</v>
      </c>
      <c r="B39" s="13">
        <v>1E-3</v>
      </c>
      <c r="C39" s="2">
        <v>2</v>
      </c>
      <c r="D39" s="3">
        <v>3.4119999999999999</v>
      </c>
      <c r="E39" s="3">
        <v>620.16300000000001</v>
      </c>
      <c r="F39" s="3">
        <v>711.52099999999996</v>
      </c>
      <c r="G39" s="3">
        <v>331.35399999999998</v>
      </c>
      <c r="H39" s="3">
        <v>588.29100000000005</v>
      </c>
      <c r="I39" s="3">
        <v>279.86700000000002</v>
      </c>
      <c r="J39" s="3">
        <v>189.64699999999999</v>
      </c>
      <c r="K39" s="4">
        <v>0.106201</v>
      </c>
      <c r="L39" s="4">
        <v>9.5580999999999999E-2</v>
      </c>
      <c r="M39" s="2">
        <v>0</v>
      </c>
      <c r="N39" s="5">
        <v>1.579E-7</v>
      </c>
      <c r="O39" s="7">
        <v>1.653E-8</v>
      </c>
      <c r="Q39" s="42">
        <f t="shared" si="17"/>
        <v>1</v>
      </c>
      <c r="R39" s="43">
        <f t="shared" si="18"/>
        <v>0.55720464390453894</v>
      </c>
      <c r="S39" s="43">
        <f t="shared" si="19"/>
        <v>0.32510041158894587</v>
      </c>
      <c r="U39" s="49">
        <f t="shared" ref="U39:V39" si="26">N9/N39</f>
        <v>7.4477517416086129E-3</v>
      </c>
      <c r="V39" s="49">
        <f t="shared" si="26"/>
        <v>19.939503932244403</v>
      </c>
    </row>
    <row r="40" spans="1:22" x14ac:dyDescent="0.55000000000000004">
      <c r="A40" s="26" t="s">
        <v>16</v>
      </c>
      <c r="B40" s="13">
        <v>2.9999999999999997E-4</v>
      </c>
      <c r="C40" s="2">
        <v>2</v>
      </c>
      <c r="D40" s="3">
        <v>2.8130000000000002</v>
      </c>
      <c r="E40" s="3">
        <v>621.89099999999996</v>
      </c>
      <c r="F40" s="3">
        <v>683.35900000000004</v>
      </c>
      <c r="G40" s="3">
        <v>325.589</v>
      </c>
      <c r="H40" s="3">
        <v>587.73699999999997</v>
      </c>
      <c r="I40" s="3">
        <v>284.58199999999999</v>
      </c>
      <c r="J40" s="3">
        <v>191.74100000000001</v>
      </c>
      <c r="K40" s="4">
        <v>3.1859999999999999E-2</v>
      </c>
      <c r="L40" s="4">
        <v>2.8674000000000002E-2</v>
      </c>
      <c r="M40" s="2">
        <v>0</v>
      </c>
      <c r="N40" s="5">
        <v>1.3480000000000001E-8</v>
      </c>
      <c r="O40" s="7">
        <v>1.8250000000000001E-8</v>
      </c>
      <c r="Q40" s="42">
        <f t="shared" si="17"/>
        <v>0.91242296464482642</v>
      </c>
      <c r="R40" s="43">
        <f t="shared" si="18"/>
        <v>0.56011746349049607</v>
      </c>
      <c r="S40" s="43">
        <f t="shared" si="19"/>
        <v>0.34255674560282995</v>
      </c>
      <c r="U40" s="49">
        <f t="shared" ref="U40:V40" si="27">N10/N40</f>
        <v>4.1105341246290799</v>
      </c>
      <c r="V40" s="49">
        <f t="shared" si="27"/>
        <v>13.660273972602738</v>
      </c>
    </row>
    <row r="41" spans="1:22" x14ac:dyDescent="0.55000000000000004">
      <c r="A41" s="26" t="s">
        <v>16</v>
      </c>
      <c r="B41" s="13">
        <v>1E-4</v>
      </c>
      <c r="C41" s="2">
        <v>2</v>
      </c>
      <c r="D41" s="3">
        <v>2.5859999999999999</v>
      </c>
      <c r="E41" s="3">
        <v>589.4</v>
      </c>
      <c r="F41" s="3">
        <v>666.88</v>
      </c>
      <c r="G41" s="3">
        <v>312.875</v>
      </c>
      <c r="H41" s="3">
        <v>554.86500000000001</v>
      </c>
      <c r="I41" s="3">
        <v>279.41699999999997</v>
      </c>
      <c r="J41" s="3">
        <v>185.83500000000001</v>
      </c>
      <c r="K41" s="4">
        <v>1.0619999999999999E-2</v>
      </c>
      <c r="L41" s="4">
        <v>9.5580000000000005E-3</v>
      </c>
      <c r="M41" s="2">
        <v>0</v>
      </c>
      <c r="N41" s="5">
        <v>4.3149999999999999E-8</v>
      </c>
      <c r="O41" s="7">
        <v>7.1729999999999994E-8</v>
      </c>
      <c r="Q41" s="42">
        <f t="shared" si="17"/>
        <v>1</v>
      </c>
      <c r="R41" s="43">
        <f t="shared" si="18"/>
        <v>0.56067171293608298</v>
      </c>
      <c r="S41" s="43">
        <f t="shared" si="19"/>
        <v>0.33628720539695411</v>
      </c>
      <c r="U41" s="49">
        <f t="shared" ref="U41:V41" si="28">N11/N41</f>
        <v>1.2488991888760139</v>
      </c>
      <c r="V41" s="49">
        <f t="shared" si="28"/>
        <v>1.7384636832566571</v>
      </c>
    </row>
    <row r="42" spans="1:22" x14ac:dyDescent="0.55000000000000004">
      <c r="A42" s="26" t="s">
        <v>17</v>
      </c>
      <c r="B42" s="13">
        <v>0.01</v>
      </c>
      <c r="C42" s="2">
        <v>2</v>
      </c>
      <c r="D42" s="3">
        <v>7.7530000000000001</v>
      </c>
      <c r="E42" s="3">
        <v>854.62900000000002</v>
      </c>
      <c r="F42" s="3">
        <v>769.20899999999995</v>
      </c>
      <c r="G42" s="3">
        <v>404.83600000000001</v>
      </c>
      <c r="H42" s="3">
        <v>728.178</v>
      </c>
      <c r="I42" s="3">
        <v>273.036</v>
      </c>
      <c r="J42" s="3">
        <v>198.577</v>
      </c>
      <c r="K42" s="4">
        <v>822836.375</v>
      </c>
      <c r="L42" s="4">
        <v>740552.6875</v>
      </c>
      <c r="M42" s="2">
        <v>0</v>
      </c>
      <c r="N42" s="5">
        <v>0.41020000000000001</v>
      </c>
      <c r="O42" s="7">
        <v>3.4590000000000002E-9</v>
      </c>
      <c r="Q42" s="42">
        <f t="shared" si="17"/>
        <v>1</v>
      </c>
      <c r="R42" s="43">
        <f t="shared" si="18"/>
        <v>0.54514703387205798</v>
      </c>
      <c r="S42" s="43">
        <f t="shared" si="19"/>
        <v>0.27721363836880109</v>
      </c>
      <c r="U42" s="49">
        <f t="shared" ref="U42:V42" si="29">N12/N42</f>
        <v>1.0039005363237445</v>
      </c>
      <c r="V42" s="49">
        <f t="shared" si="29"/>
        <v>656259.03440300655</v>
      </c>
    </row>
    <row r="43" spans="1:22" x14ac:dyDescent="0.55000000000000004">
      <c r="A43" s="26" t="s">
        <v>17</v>
      </c>
      <c r="B43" s="13">
        <v>3.0000000000000001E-3</v>
      </c>
      <c r="C43" s="2">
        <v>2</v>
      </c>
      <c r="D43" s="3">
        <v>5.234</v>
      </c>
      <c r="E43" s="3">
        <v>851.03099999999995</v>
      </c>
      <c r="F43" s="3">
        <v>733.11</v>
      </c>
      <c r="G43" s="3">
        <v>393.84100000000001</v>
      </c>
      <c r="H43" s="3">
        <v>695.34199999999998</v>
      </c>
      <c r="I43" s="3">
        <v>273.78399999999999</v>
      </c>
      <c r="J43" s="3">
        <v>196.43799999999999</v>
      </c>
      <c r="K43" s="4">
        <v>246850.921875</v>
      </c>
      <c r="L43" s="4">
        <v>222165.828125</v>
      </c>
      <c r="M43" s="2">
        <v>0</v>
      </c>
      <c r="N43" s="5">
        <v>2.5659999999999999E-2</v>
      </c>
      <c r="O43" s="7">
        <v>2.706E-9</v>
      </c>
      <c r="Q43" s="42">
        <f t="shared" si="17"/>
        <v>1</v>
      </c>
      <c r="R43" s="43">
        <f t="shared" si="18"/>
        <v>0.55513097359103314</v>
      </c>
      <c r="S43" s="43">
        <f t="shared" si="19"/>
        <v>0.28528026559044062</v>
      </c>
      <c r="U43" s="49">
        <f t="shared" ref="U43:V43" si="30">N13/N43</f>
        <v>1.0027279812938426</v>
      </c>
      <c r="V43" s="49">
        <f t="shared" si="30"/>
        <v>52549.889135254984</v>
      </c>
    </row>
    <row r="44" spans="1:22" x14ac:dyDescent="0.55000000000000004">
      <c r="A44" s="26" t="s">
        <v>17</v>
      </c>
      <c r="B44" s="13">
        <v>1E-3</v>
      </c>
      <c r="C44" s="2">
        <v>2</v>
      </c>
      <c r="D44" s="3">
        <v>4.5</v>
      </c>
      <c r="E44" s="3">
        <v>847.63400000000001</v>
      </c>
      <c r="F44" s="3">
        <v>720.51599999999996</v>
      </c>
      <c r="G44" s="3">
        <v>389.46100000000001</v>
      </c>
      <c r="H44" s="3">
        <v>679.98299999999995</v>
      </c>
      <c r="I44" s="3">
        <v>271.35300000000001</v>
      </c>
      <c r="J44" s="3">
        <v>193.95400000000001</v>
      </c>
      <c r="K44" s="4">
        <v>82283.640625</v>
      </c>
      <c r="L44" s="4">
        <v>74055.273438000004</v>
      </c>
      <c r="M44" s="2">
        <v>0</v>
      </c>
      <c r="N44" s="5">
        <v>1.7600000000000001E-3</v>
      </c>
      <c r="O44" s="7">
        <v>2.8280000000000002E-9</v>
      </c>
      <c r="Q44" s="42">
        <f t="shared" si="17"/>
        <v>1</v>
      </c>
      <c r="R44" s="43">
        <f t="shared" si="18"/>
        <v>0.5556655742476363</v>
      </c>
      <c r="S44" s="43">
        <f t="shared" si="19"/>
        <v>0.28931474318718481</v>
      </c>
      <c r="U44" s="49">
        <f t="shared" ref="U44:V44" si="31">N14/N44</f>
        <v>0.99090909090909096</v>
      </c>
      <c r="V44" s="49">
        <f t="shared" si="31"/>
        <v>11905.940594059406</v>
      </c>
    </row>
    <row r="45" spans="1:22" x14ac:dyDescent="0.55000000000000004">
      <c r="A45" s="26" t="s">
        <v>17</v>
      </c>
      <c r="B45" s="13">
        <v>2.9999999999999997E-4</v>
      </c>
      <c r="C45" s="2">
        <v>2</v>
      </c>
      <c r="D45" s="3">
        <v>3.5129999999999999</v>
      </c>
      <c r="E45" s="3">
        <v>850.59900000000005</v>
      </c>
      <c r="F45" s="3">
        <v>698.93399999999997</v>
      </c>
      <c r="G45" s="3">
        <v>383.67200000000003</v>
      </c>
      <c r="H45" s="3">
        <v>652.91200000000003</v>
      </c>
      <c r="I45" s="3">
        <v>273.23599999999999</v>
      </c>
      <c r="J45" s="3">
        <v>192.625</v>
      </c>
      <c r="K45" s="4">
        <v>24685.09375</v>
      </c>
      <c r="L45" s="4">
        <v>22216.583984000001</v>
      </c>
      <c r="M45" s="2">
        <v>0</v>
      </c>
      <c r="N45" s="5">
        <v>3.49E-3</v>
      </c>
      <c r="O45" s="7">
        <v>2.1900000000000001E-9</v>
      </c>
      <c r="Q45" s="42">
        <f t="shared" si="17"/>
        <v>1</v>
      </c>
      <c r="R45" s="43">
        <f t="shared" si="18"/>
        <v>0.57011499718413672</v>
      </c>
      <c r="S45" s="43">
        <f t="shared" si="19"/>
        <v>0.29835430784123912</v>
      </c>
      <c r="U45" s="49">
        <f t="shared" ref="U45:V45" si="32">N15/N45</f>
        <v>0.99971346704871056</v>
      </c>
      <c r="V45" s="49">
        <f t="shared" si="32"/>
        <v>953.88127853881269</v>
      </c>
    </row>
    <row r="46" spans="1:22" ht="14.7" thickBot="1" x14ac:dyDescent="0.6">
      <c r="A46" s="28" t="s">
        <v>17</v>
      </c>
      <c r="B46" s="29">
        <v>1E-4</v>
      </c>
      <c r="C46" s="30">
        <v>2</v>
      </c>
      <c r="D46" s="31">
        <v>2.88</v>
      </c>
      <c r="E46" s="31">
        <v>850.90099999999995</v>
      </c>
      <c r="F46" s="31">
        <v>671.08900000000006</v>
      </c>
      <c r="G46" s="31">
        <v>375.18700000000001</v>
      </c>
      <c r="H46" s="31">
        <v>623.41</v>
      </c>
      <c r="I46" s="31">
        <v>273.98099999999999</v>
      </c>
      <c r="J46" s="31">
        <v>190.33199999999999</v>
      </c>
      <c r="K46" s="32">
        <v>8228.3642579999996</v>
      </c>
      <c r="L46" s="32">
        <v>7405.5278319999998</v>
      </c>
      <c r="M46" s="30">
        <v>0</v>
      </c>
      <c r="N46" s="33">
        <v>2.8679999999999998E-4</v>
      </c>
      <c r="O46" s="34">
        <v>4.3079999999999996E-9</v>
      </c>
      <c r="Q46" s="44">
        <f t="shared" si="17"/>
        <v>0.90995260663507105</v>
      </c>
      <c r="R46" s="45">
        <f t="shared" si="18"/>
        <v>0.57535282219417605</v>
      </c>
      <c r="S46" s="45">
        <f t="shared" si="19"/>
        <v>0.30101962545726568</v>
      </c>
      <c r="U46" s="50">
        <f t="shared" ref="U46:V46" si="33">N16/N46</f>
        <v>0.83507670850767091</v>
      </c>
      <c r="V46" s="50">
        <f t="shared" si="33"/>
        <v>156.15134633240484</v>
      </c>
    </row>
    <row r="47" spans="1:22" x14ac:dyDescent="0.55000000000000004">
      <c r="A47" s="35" t="s">
        <v>15</v>
      </c>
      <c r="B47" s="36">
        <v>0.01</v>
      </c>
      <c r="C47" s="37">
        <v>3</v>
      </c>
      <c r="D47" s="38">
        <v>5.641</v>
      </c>
      <c r="E47" s="38">
        <v>750.72199999999998</v>
      </c>
      <c r="F47" s="38">
        <v>752.49199999999996</v>
      </c>
      <c r="G47" s="38">
        <v>375.803</v>
      </c>
      <c r="H47" s="38">
        <v>710.52599999999995</v>
      </c>
      <c r="I47" s="38">
        <v>262.61</v>
      </c>
      <c r="J47" s="38">
        <v>191.74199999999999</v>
      </c>
      <c r="K47" s="39">
        <v>0.99603399999999997</v>
      </c>
      <c r="L47" s="39">
        <v>0.89643099999999998</v>
      </c>
      <c r="M47" s="37">
        <v>0</v>
      </c>
      <c r="N47" s="40">
        <v>8.1350000000000003E-10</v>
      </c>
      <c r="O47" s="41">
        <v>1.5420000000000001E-9</v>
      </c>
      <c r="Q47" s="42">
        <f>D47/D2</f>
        <v>1</v>
      </c>
      <c r="R47" s="43">
        <f>G47/F2</f>
        <v>0.51397205042848904</v>
      </c>
      <c r="S47" s="43">
        <f>J47/H2</f>
        <v>0.27436592712365226</v>
      </c>
      <c r="U47" s="49">
        <f>N2/N47</f>
        <v>466502.76582667488</v>
      </c>
      <c r="V47" s="49">
        <f>O2/O47</f>
        <v>14403.372243839169</v>
      </c>
    </row>
    <row r="48" spans="1:22" x14ac:dyDescent="0.55000000000000004">
      <c r="A48" s="26" t="s">
        <v>15</v>
      </c>
      <c r="B48" s="13">
        <v>3.0000000000000001E-3</v>
      </c>
      <c r="C48" s="2">
        <v>3</v>
      </c>
      <c r="D48" s="3">
        <v>4.8840000000000003</v>
      </c>
      <c r="E48" s="3">
        <v>749.14599999999996</v>
      </c>
      <c r="F48" s="3">
        <v>732.34299999999996</v>
      </c>
      <c r="G48" s="3">
        <v>370.32499999999999</v>
      </c>
      <c r="H48" s="3">
        <v>694.22500000000002</v>
      </c>
      <c r="I48" s="3">
        <v>260.59199999999998</v>
      </c>
      <c r="J48" s="3">
        <v>189.47</v>
      </c>
      <c r="K48" s="4">
        <v>0.29881000000000002</v>
      </c>
      <c r="L48" s="4">
        <v>0.26892899999999997</v>
      </c>
      <c r="M48" s="2">
        <v>0</v>
      </c>
      <c r="N48" s="5">
        <v>6.3520000000000004E-10</v>
      </c>
      <c r="O48" s="7">
        <v>1.175E-9</v>
      </c>
      <c r="Q48" s="42">
        <f t="shared" ref="Q48:Q61" si="34">D48/D3</f>
        <v>1</v>
      </c>
      <c r="R48" s="43">
        <f t="shared" ref="R48:R61" si="35">G48/F3</f>
        <v>0.51880633565050249</v>
      </c>
      <c r="S48" s="43">
        <f t="shared" ref="S48:S61" si="36">J48/H3</f>
        <v>0.27635083297598939</v>
      </c>
      <c r="U48" s="49">
        <f t="shared" ref="U48:V48" si="37">N3/N48</f>
        <v>187342.56926952139</v>
      </c>
      <c r="V48" s="49">
        <f t="shared" si="37"/>
        <v>4386.3829787234044</v>
      </c>
    </row>
    <row r="49" spans="1:22" x14ac:dyDescent="0.55000000000000004">
      <c r="A49" s="26" t="s">
        <v>15</v>
      </c>
      <c r="B49" s="13">
        <v>1E-3</v>
      </c>
      <c r="C49" s="2">
        <v>3</v>
      </c>
      <c r="D49" s="3">
        <v>3.823</v>
      </c>
      <c r="E49" s="3">
        <v>745.06500000000005</v>
      </c>
      <c r="F49" s="3">
        <v>706.75900000000001</v>
      </c>
      <c r="G49" s="3">
        <v>362.70299999999997</v>
      </c>
      <c r="H49" s="3">
        <v>666.79300000000001</v>
      </c>
      <c r="I49" s="3">
        <v>261.553</v>
      </c>
      <c r="J49" s="3">
        <v>187.863</v>
      </c>
      <c r="K49" s="4">
        <v>9.9602999999999997E-2</v>
      </c>
      <c r="L49" s="4">
        <v>8.9643E-2</v>
      </c>
      <c r="M49" s="2">
        <v>0</v>
      </c>
      <c r="N49" s="5">
        <v>2.6620000000000002E-10</v>
      </c>
      <c r="O49" s="7">
        <v>4.5E-10</v>
      </c>
      <c r="Q49" s="42">
        <f t="shared" si="34"/>
        <v>1</v>
      </c>
      <c r="R49" s="43">
        <f t="shared" si="35"/>
        <v>0.53017298084259823</v>
      </c>
      <c r="S49" s="43">
        <f t="shared" si="36"/>
        <v>0.2846400465453135</v>
      </c>
      <c r="U49" s="49">
        <f t="shared" ref="U49:V49" si="38">N4/N49</f>
        <v>103643.87678437264</v>
      </c>
      <c r="V49" s="49">
        <f t="shared" si="38"/>
        <v>1009.7777777777777</v>
      </c>
    </row>
    <row r="50" spans="1:22" x14ac:dyDescent="0.55000000000000004">
      <c r="A50" s="26" t="s">
        <v>15</v>
      </c>
      <c r="B50" s="13">
        <v>2.9999999999999997E-4</v>
      </c>
      <c r="C50" s="2">
        <v>3</v>
      </c>
      <c r="D50" s="3">
        <v>3.1160000000000001</v>
      </c>
      <c r="E50" s="3">
        <v>733.41499999999996</v>
      </c>
      <c r="F50" s="3">
        <v>680.80399999999997</v>
      </c>
      <c r="G50" s="3">
        <v>353.065</v>
      </c>
      <c r="H50" s="3">
        <v>636.48500000000001</v>
      </c>
      <c r="I50" s="3">
        <v>263.66199999999998</v>
      </c>
      <c r="J50" s="3">
        <v>186.43299999999999</v>
      </c>
      <c r="K50" s="4">
        <v>2.9881000000000001E-2</v>
      </c>
      <c r="L50" s="4">
        <v>2.6893E-2</v>
      </c>
      <c r="M50" s="2">
        <v>0</v>
      </c>
      <c r="N50" s="5">
        <v>9.5489999999999998E-11</v>
      </c>
      <c r="O50" s="7">
        <v>3.0410000000000001E-10</v>
      </c>
      <c r="Q50" s="42">
        <f t="shared" si="34"/>
        <v>1</v>
      </c>
      <c r="R50" s="43">
        <f t="shared" si="35"/>
        <v>0.53487808388313618</v>
      </c>
      <c r="S50" s="43">
        <f t="shared" si="36"/>
        <v>0.29475200313671918</v>
      </c>
      <c r="U50" s="49">
        <f t="shared" ref="U50:V50" si="39">N5/N50</f>
        <v>76364.017174573251</v>
      </c>
      <c r="V50" s="49">
        <f t="shared" si="39"/>
        <v>353.83097665241695</v>
      </c>
    </row>
    <row r="51" spans="1:22" x14ac:dyDescent="0.55000000000000004">
      <c r="A51" s="26" t="s">
        <v>15</v>
      </c>
      <c r="B51" s="13">
        <v>1E-4</v>
      </c>
      <c r="C51" s="2">
        <v>3</v>
      </c>
      <c r="D51" s="3">
        <v>2.8420000000000001</v>
      </c>
      <c r="E51" s="3">
        <v>741.00099999999998</v>
      </c>
      <c r="F51" s="3">
        <v>667.87199999999996</v>
      </c>
      <c r="G51" s="3">
        <v>351.26900000000001</v>
      </c>
      <c r="H51" s="3">
        <v>625</v>
      </c>
      <c r="I51" s="3">
        <v>262.43599999999998</v>
      </c>
      <c r="J51" s="3">
        <v>184.828</v>
      </c>
      <c r="K51" s="4">
        <v>9.9600000000000001E-3</v>
      </c>
      <c r="L51" s="4">
        <v>8.9639999999999997E-3</v>
      </c>
      <c r="M51" s="2">
        <v>0</v>
      </c>
      <c r="N51" s="5">
        <v>1.5350000000000001E-10</v>
      </c>
      <c r="O51" s="7">
        <v>3.8589999999999998E-10</v>
      </c>
      <c r="Q51" s="42">
        <f t="shared" si="34"/>
        <v>1</v>
      </c>
      <c r="R51" s="43">
        <f t="shared" si="35"/>
        <v>0.54121484412314846</v>
      </c>
      <c r="S51" s="43">
        <f t="shared" si="36"/>
        <v>0.2974974085591589</v>
      </c>
      <c r="U51" s="49">
        <f t="shared" ref="U51:V51" si="40">N6/N51</f>
        <v>8879.4788273615613</v>
      </c>
      <c r="V51" s="49">
        <f t="shared" si="40"/>
        <v>285.82534335320031</v>
      </c>
    </row>
    <row r="52" spans="1:22" x14ac:dyDescent="0.55000000000000004">
      <c r="A52" s="26" t="s">
        <v>16</v>
      </c>
      <c r="B52" s="13">
        <v>0.01</v>
      </c>
      <c r="C52" s="2">
        <v>3</v>
      </c>
      <c r="D52" s="3">
        <v>5.0179999999999998</v>
      </c>
      <c r="E52" s="3">
        <v>596.14700000000005</v>
      </c>
      <c r="F52" s="3">
        <v>758.495</v>
      </c>
      <c r="G52" s="3">
        <v>333.79599999999999</v>
      </c>
      <c r="H52" s="3">
        <v>651.04200000000003</v>
      </c>
      <c r="I52" s="3">
        <v>259.89699999999999</v>
      </c>
      <c r="J52" s="3">
        <v>185.74700000000001</v>
      </c>
      <c r="K52" s="4">
        <v>1.062011</v>
      </c>
      <c r="L52" s="4">
        <v>0.95581000000000005</v>
      </c>
      <c r="M52" s="2">
        <v>0</v>
      </c>
      <c r="N52" s="5">
        <v>3.3360000000000002E-10</v>
      </c>
      <c r="O52" s="7">
        <v>7.7859999999999998E-10</v>
      </c>
      <c r="Q52" s="42">
        <f t="shared" si="34"/>
        <v>0.84265323257766578</v>
      </c>
      <c r="R52" s="43">
        <f t="shared" si="35"/>
        <v>0.54699851859620607</v>
      </c>
      <c r="S52" s="43">
        <f t="shared" si="36"/>
        <v>0.29856237683600745</v>
      </c>
      <c r="U52" s="49">
        <f t="shared" ref="U52:V52" si="41">N7/N52</f>
        <v>341426.85851318942</v>
      </c>
      <c r="V52" s="49">
        <f t="shared" si="41"/>
        <v>267146.15977395326</v>
      </c>
    </row>
    <row r="53" spans="1:22" x14ac:dyDescent="0.55000000000000004">
      <c r="A53" s="26" t="s">
        <v>16</v>
      </c>
      <c r="B53" s="13">
        <v>3.0000000000000001E-3</v>
      </c>
      <c r="C53" s="2">
        <v>3</v>
      </c>
      <c r="D53" s="3">
        <v>4.3360000000000003</v>
      </c>
      <c r="E53" s="3">
        <v>611.06799999999998</v>
      </c>
      <c r="F53" s="3">
        <v>726.57500000000005</v>
      </c>
      <c r="G53" s="3">
        <v>331.91699999999997</v>
      </c>
      <c r="H53" s="3">
        <v>630.16700000000003</v>
      </c>
      <c r="I53" s="3">
        <v>258.77800000000002</v>
      </c>
      <c r="J53" s="3">
        <v>183.446</v>
      </c>
      <c r="K53" s="4">
        <v>0.31860300000000003</v>
      </c>
      <c r="L53" s="4">
        <v>0.28674300000000003</v>
      </c>
      <c r="M53" s="2">
        <v>0</v>
      </c>
      <c r="N53" s="5">
        <v>3.0359999999999999E-9</v>
      </c>
      <c r="O53" s="7">
        <v>7.0729999999999999E-9</v>
      </c>
      <c r="Q53" s="42">
        <f t="shared" si="34"/>
        <v>1</v>
      </c>
      <c r="R53" s="43">
        <f t="shared" si="35"/>
        <v>0.54381242299525523</v>
      </c>
      <c r="S53" s="43">
        <f t="shared" si="36"/>
        <v>0.30361046978310696</v>
      </c>
      <c r="U53" s="49">
        <f t="shared" ref="U53:V53" si="42">N8/N53</f>
        <v>1145.2569169960475</v>
      </c>
      <c r="V53" s="49">
        <f t="shared" si="42"/>
        <v>1536.8301993496393</v>
      </c>
    </row>
    <row r="54" spans="1:22" x14ac:dyDescent="0.55000000000000004">
      <c r="A54" s="26" t="s">
        <v>16</v>
      </c>
      <c r="B54" s="13">
        <v>1E-3</v>
      </c>
      <c r="C54" s="2">
        <v>3</v>
      </c>
      <c r="D54" s="3">
        <v>3.4119999999999999</v>
      </c>
      <c r="E54" s="3">
        <v>567.76900000000001</v>
      </c>
      <c r="F54" s="3">
        <v>704.78099999999995</v>
      </c>
      <c r="G54" s="3">
        <v>314.45</v>
      </c>
      <c r="H54" s="3">
        <v>603.16499999999996</v>
      </c>
      <c r="I54" s="3">
        <v>260.48200000000003</v>
      </c>
      <c r="J54" s="3">
        <v>181.91900000000001</v>
      </c>
      <c r="K54" s="4">
        <v>0.106201</v>
      </c>
      <c r="L54" s="4">
        <v>9.5580999999999999E-2</v>
      </c>
      <c r="M54" s="2">
        <v>0</v>
      </c>
      <c r="N54" s="5">
        <v>1.181E-8</v>
      </c>
      <c r="O54" s="7">
        <v>2.5979999999999998E-8</v>
      </c>
      <c r="Q54" s="42">
        <f t="shared" si="34"/>
        <v>1</v>
      </c>
      <c r="R54" s="43">
        <f t="shared" si="35"/>
        <v>0.52877888987542709</v>
      </c>
      <c r="S54" s="43">
        <f t="shared" si="36"/>
        <v>0.31185276738281886</v>
      </c>
      <c r="U54" s="49">
        <f t="shared" ref="U54:V54" si="43">N9/N54</f>
        <v>9.9576629974597805E-2</v>
      </c>
      <c r="V54" s="49">
        <f t="shared" si="43"/>
        <v>12.686682063125481</v>
      </c>
    </row>
    <row r="55" spans="1:22" x14ac:dyDescent="0.55000000000000004">
      <c r="A55" s="26" t="s">
        <v>16</v>
      </c>
      <c r="B55" s="13">
        <v>2.9999999999999997E-4</v>
      </c>
      <c r="C55" s="2">
        <v>3</v>
      </c>
      <c r="D55" s="3">
        <v>2.8130000000000002</v>
      </c>
      <c r="E55" s="3">
        <v>565.40599999999995</v>
      </c>
      <c r="F55" s="3">
        <v>680.976</v>
      </c>
      <c r="G55" s="3">
        <v>308.91699999999997</v>
      </c>
      <c r="H55" s="3">
        <v>595.125</v>
      </c>
      <c r="I55" s="3">
        <v>260.13499999999999</v>
      </c>
      <c r="J55" s="3">
        <v>181.01300000000001</v>
      </c>
      <c r="K55" s="4">
        <v>3.1859999999999999E-2</v>
      </c>
      <c r="L55" s="4">
        <v>2.8674000000000002E-2</v>
      </c>
      <c r="M55" s="2">
        <v>0</v>
      </c>
      <c r="N55" s="5">
        <v>9.1700000000000004E-9</v>
      </c>
      <c r="O55" s="7">
        <v>1.8460000000000001E-8</v>
      </c>
      <c r="Q55" s="42">
        <f t="shared" si="34"/>
        <v>0.91242296464482642</v>
      </c>
      <c r="R55" s="43">
        <f t="shared" si="35"/>
        <v>0.53143627846485464</v>
      </c>
      <c r="S55" s="43">
        <f t="shared" si="36"/>
        <v>0.32339053302008985</v>
      </c>
      <c r="U55" s="49">
        <f t="shared" ref="U55:V55" si="44">N10/N55</f>
        <v>6.0425299890948745</v>
      </c>
      <c r="V55" s="49">
        <f t="shared" si="44"/>
        <v>13.504875406283855</v>
      </c>
    </row>
    <row r="56" spans="1:22" x14ac:dyDescent="0.55000000000000004">
      <c r="A56" s="26" t="s">
        <v>16</v>
      </c>
      <c r="B56" s="13">
        <v>1E-4</v>
      </c>
      <c r="C56" s="2">
        <v>3</v>
      </c>
      <c r="D56" s="3">
        <v>2.5859999999999999</v>
      </c>
      <c r="E56" s="3">
        <v>559.03399999999999</v>
      </c>
      <c r="F56" s="3">
        <v>678.90499999999997</v>
      </c>
      <c r="G56" s="3">
        <v>306.58300000000003</v>
      </c>
      <c r="H56" s="3">
        <v>567.76900000000001</v>
      </c>
      <c r="I56" s="3">
        <v>261.791</v>
      </c>
      <c r="J56" s="3">
        <v>179.17599999999999</v>
      </c>
      <c r="K56" s="4">
        <v>1.0619999999999999E-2</v>
      </c>
      <c r="L56" s="4">
        <v>9.5580000000000005E-3</v>
      </c>
      <c r="M56" s="2">
        <v>0</v>
      </c>
      <c r="N56" s="5">
        <v>3.3990000000000002E-8</v>
      </c>
      <c r="O56" s="7">
        <v>6.8320000000000006E-8</v>
      </c>
      <c r="Q56" s="42">
        <f t="shared" si="34"/>
        <v>1</v>
      </c>
      <c r="R56" s="43">
        <f t="shared" si="35"/>
        <v>0.54939645470901532</v>
      </c>
      <c r="S56" s="43">
        <f t="shared" si="36"/>
        <v>0.32423707221031906</v>
      </c>
      <c r="U56" s="49">
        <f t="shared" ref="U56:V56" si="45">N11/N56</f>
        <v>1.5854663136216534</v>
      </c>
      <c r="V56" s="49">
        <f t="shared" si="45"/>
        <v>1.8252341920374706</v>
      </c>
    </row>
    <row r="57" spans="1:22" x14ac:dyDescent="0.55000000000000004">
      <c r="A57" s="26" t="s">
        <v>17</v>
      </c>
      <c r="B57" s="13">
        <v>0.01</v>
      </c>
      <c r="C57" s="2">
        <v>3</v>
      </c>
      <c r="D57" s="3">
        <v>7.7530000000000001</v>
      </c>
      <c r="E57" s="3">
        <v>746.71600000000001</v>
      </c>
      <c r="F57" s="3">
        <v>767.41499999999996</v>
      </c>
      <c r="G57" s="6">
        <v>378.46199999999999</v>
      </c>
      <c r="H57" s="3">
        <v>731.06500000000005</v>
      </c>
      <c r="I57" s="3">
        <v>263.077</v>
      </c>
      <c r="J57" s="6">
        <v>193.46</v>
      </c>
      <c r="K57" s="4">
        <v>822836.375</v>
      </c>
      <c r="L57" s="4">
        <v>740552.6875</v>
      </c>
      <c r="M57" s="2">
        <v>0</v>
      </c>
      <c r="N57" s="5">
        <v>2.6809999999999999E-5</v>
      </c>
      <c r="O57" s="7">
        <v>8.9480000000000001E-9</v>
      </c>
      <c r="Q57" s="42">
        <f t="shared" si="34"/>
        <v>1</v>
      </c>
      <c r="R57" s="43">
        <f t="shared" si="35"/>
        <v>0.50963213926944939</v>
      </c>
      <c r="S57" s="43">
        <f t="shared" si="36"/>
        <v>0.27007030259711978</v>
      </c>
      <c r="U57" s="49">
        <f t="shared" ref="U57:V57" si="46">N12/N57</f>
        <v>15359.94032077583</v>
      </c>
      <c r="V57" s="49">
        <f t="shared" si="46"/>
        <v>253687.97496647295</v>
      </c>
    </row>
    <row r="58" spans="1:22" x14ac:dyDescent="0.55000000000000004">
      <c r="A58" s="26" t="s">
        <v>17</v>
      </c>
      <c r="B58" s="13">
        <v>3.0000000000000001E-3</v>
      </c>
      <c r="C58" s="2">
        <v>3</v>
      </c>
      <c r="D58" s="3">
        <v>5.234</v>
      </c>
      <c r="E58" s="3">
        <v>740.84699999999998</v>
      </c>
      <c r="F58" s="3">
        <v>736.553</v>
      </c>
      <c r="G58" s="3">
        <v>369.34699999999998</v>
      </c>
      <c r="H58" s="3">
        <v>696.43899999999996</v>
      </c>
      <c r="I58" s="3">
        <v>263.56099999999998</v>
      </c>
      <c r="J58" s="3">
        <v>191.202</v>
      </c>
      <c r="K58" s="4">
        <v>246850.921875</v>
      </c>
      <c r="L58" s="4">
        <v>222165.828125</v>
      </c>
      <c r="M58" s="2">
        <v>0</v>
      </c>
      <c r="N58" s="5">
        <v>3.4780000000000002E-5</v>
      </c>
      <c r="O58" s="7">
        <v>3.0610000000000001E-10</v>
      </c>
      <c r="Q58" s="42">
        <f t="shared" si="34"/>
        <v>1</v>
      </c>
      <c r="R58" s="43">
        <f t="shared" si="35"/>
        <v>0.52060592904986347</v>
      </c>
      <c r="S58" s="43">
        <f t="shared" si="36"/>
        <v>0.27767619982601854</v>
      </c>
      <c r="U58" s="49">
        <f t="shared" ref="U58:V58" si="47">N13/N58</f>
        <v>739.79298447383542</v>
      </c>
      <c r="V58" s="49">
        <f t="shared" si="47"/>
        <v>464554.06729826849</v>
      </c>
    </row>
    <row r="59" spans="1:22" x14ac:dyDescent="0.55000000000000004">
      <c r="A59" s="26" t="s">
        <v>17</v>
      </c>
      <c r="B59" s="13">
        <v>1E-3</v>
      </c>
      <c r="C59" s="2">
        <v>3</v>
      </c>
      <c r="D59" s="3">
        <v>4.5</v>
      </c>
      <c r="E59" s="3">
        <v>739.44299999999998</v>
      </c>
      <c r="F59" s="3">
        <v>721.25900000000001</v>
      </c>
      <c r="G59" s="3">
        <v>365.11900000000003</v>
      </c>
      <c r="H59" s="3">
        <v>684.44899999999996</v>
      </c>
      <c r="I59" s="3">
        <v>263.209</v>
      </c>
      <c r="J59" s="3">
        <v>190.10400000000001</v>
      </c>
      <c r="K59" s="4">
        <v>82283.640625</v>
      </c>
      <c r="L59" s="4">
        <v>74055.273438000004</v>
      </c>
      <c r="M59" s="2">
        <v>0</v>
      </c>
      <c r="N59" s="5">
        <v>1.3200000000000001E-5</v>
      </c>
      <c r="O59" s="7">
        <v>8.1229999999999998E-10</v>
      </c>
      <c r="Q59" s="42">
        <f t="shared" si="34"/>
        <v>1</v>
      </c>
      <c r="R59" s="43">
        <f t="shared" si="35"/>
        <v>0.5209354949628402</v>
      </c>
      <c r="S59" s="43">
        <f t="shared" si="36"/>
        <v>0.28357182599408409</v>
      </c>
      <c r="U59" s="49">
        <f t="shared" ref="U59:V59" si="48">N14/N59</f>
        <v>132.12121212121212</v>
      </c>
      <c r="V59" s="49">
        <f t="shared" si="48"/>
        <v>41450.203126923552</v>
      </c>
    </row>
    <row r="60" spans="1:22" x14ac:dyDescent="0.55000000000000004">
      <c r="A60" s="26" t="s">
        <v>17</v>
      </c>
      <c r="B60" s="13">
        <v>2.9999999999999997E-4</v>
      </c>
      <c r="C60" s="2">
        <v>3</v>
      </c>
      <c r="D60" s="3">
        <v>3.5129999999999999</v>
      </c>
      <c r="E60" s="3">
        <v>738.69399999999996</v>
      </c>
      <c r="F60" s="3">
        <v>690.76199999999994</v>
      </c>
      <c r="G60" s="3">
        <v>356.96199999999999</v>
      </c>
      <c r="H60" s="3">
        <v>651.28899999999999</v>
      </c>
      <c r="I60" s="3">
        <v>263.34100000000001</v>
      </c>
      <c r="J60" s="3">
        <v>187.52</v>
      </c>
      <c r="K60" s="4">
        <v>24685.09375</v>
      </c>
      <c r="L60" s="4">
        <v>22216.583984000001</v>
      </c>
      <c r="M60" s="2">
        <v>0</v>
      </c>
      <c r="N60" s="5">
        <v>6.3219999999999998E-6</v>
      </c>
      <c r="O60" s="7">
        <v>8.3760000000000007E-12</v>
      </c>
      <c r="Q60" s="42">
        <f t="shared" si="34"/>
        <v>1</v>
      </c>
      <c r="R60" s="43">
        <f t="shared" si="35"/>
        <v>0.53042544054516305</v>
      </c>
      <c r="S60" s="43">
        <f t="shared" si="36"/>
        <v>0.29044724104549857</v>
      </c>
      <c r="U60" s="49">
        <f t="shared" ref="U60:V60" si="49">N15/N60</f>
        <v>551.88231572287248</v>
      </c>
      <c r="V60" s="49">
        <f t="shared" si="49"/>
        <v>249403.05635148037</v>
      </c>
    </row>
    <row r="61" spans="1:22" ht="14.7" thickBot="1" x14ac:dyDescent="0.6">
      <c r="A61" s="27" t="s">
        <v>17</v>
      </c>
      <c r="B61" s="14">
        <v>1E-4</v>
      </c>
      <c r="C61" s="8">
        <v>3</v>
      </c>
      <c r="D61" s="9">
        <v>2.88</v>
      </c>
      <c r="E61" s="9">
        <v>726.34900000000005</v>
      </c>
      <c r="F61" s="9">
        <v>669.66899999999998</v>
      </c>
      <c r="G61" s="9">
        <v>348.42899999999997</v>
      </c>
      <c r="H61" s="9">
        <v>623.41</v>
      </c>
      <c r="I61" s="9">
        <v>263.60199999999998</v>
      </c>
      <c r="J61" s="9">
        <v>185.26499999999999</v>
      </c>
      <c r="K61" s="10">
        <v>8228.3642579999996</v>
      </c>
      <c r="L61" s="10">
        <v>7405.5278319999998</v>
      </c>
      <c r="M61" s="8">
        <v>0</v>
      </c>
      <c r="N61" s="11">
        <v>1.0840000000000001E-4</v>
      </c>
      <c r="O61" s="12">
        <v>5.7470000000000001E-9</v>
      </c>
      <c r="Q61" s="42">
        <f t="shared" si="34"/>
        <v>0.90995260663507105</v>
      </c>
      <c r="R61" s="43">
        <f t="shared" si="35"/>
        <v>0.53431917546262142</v>
      </c>
      <c r="S61" s="43">
        <f t="shared" si="36"/>
        <v>0.29300591025334849</v>
      </c>
      <c r="U61" s="49">
        <f t="shared" ref="U61:V61" si="50">N16/N61</f>
        <v>2.2094095940959408</v>
      </c>
      <c r="V61" s="49">
        <f t="shared" si="50"/>
        <v>117.05237515225335</v>
      </c>
    </row>
    <row r="63" spans="1:22" x14ac:dyDescent="0.55000000000000004">
      <c r="Q63" s="46">
        <f>AVERAGE(Q47:Q61)</f>
        <v>0.97766858692383751</v>
      </c>
      <c r="R63" s="47">
        <f t="shared" ref="R63:S63" si="51">AVERAGE(R47:R61)</f>
        <v>0.53035900259057134</v>
      </c>
      <c r="S63" s="47">
        <f t="shared" si="51"/>
        <v>0.29360206115261633</v>
      </c>
      <c r="U63" s="49">
        <f>AVERAGE(U47:U61)</f>
        <v>80139.899808553964</v>
      </c>
      <c r="V63" s="49">
        <f>AVERAGE(V47:V61)</f>
        <v>86557.503346907193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cSLEEKresults.4090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Burtscher, Martin</cp:lastModifiedBy>
  <dcterms:created xsi:type="dcterms:W3CDTF">2026-10-27T01:08:25Z</dcterms:created>
  <dcterms:modified xsi:type="dcterms:W3CDTF">2026-10-27T01:45:25Z</dcterms:modified>
</cp:coreProperties>
</file>